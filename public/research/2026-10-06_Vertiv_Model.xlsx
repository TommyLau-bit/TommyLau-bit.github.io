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Quarterly" sheetId="7" state="visible" r:id="rId7"/>
    <sheet xmlns:r="http://schemas.openxmlformats.org/officeDocument/2006/relationships" name="Peer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0.0&quot;x&quot;"/>
    <numFmt numFmtId="166" formatCode="0.0%"/>
    <numFmt numFmtId="167" formatCode="0&quot;x&quot;"/>
    <numFmt numFmtId="168" formatCode="0.0000"/>
    <numFmt numFmtId="169" formatCode="&quot;US$&quot;#,##0.00"/>
    <numFmt numFmtId="170" formatCode="&quot;US$&quot;#,##0"/>
    <numFmt numFmtId="171" formatCode="+0.0;-0.0"/>
    <numFmt numFmtId="172" formatCode="0.000"/>
    <numFmt numFmtId="173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2"/>
    </font>
    <font>
      <color rgb="00595959"/>
      <sz val="9"/>
    </font>
    <font>
      <i val="1"/>
      <color rgb="00595959"/>
      <sz val="9"/>
    </font>
    <font>
      <b val="1"/>
      <color rgb="00FFFFFF"/>
      <sz val="10"/>
    </font>
    <font>
      <b val="1"/>
      <color rgb="001F3864"/>
    </font>
    <font>
      <color rgb="000000FF"/>
    </font>
    <font>
      <b val="1"/>
      <color rgb="000000FF"/>
    </font>
    <font>
      <b val="1"/>
    </font>
    <font>
      <color rgb="00008000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9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7" fillId="3" borderId="0" pivotButton="0" quotePrefix="0" xfId="0"/>
    <xf numFmtId="167" fontId="7" fillId="3" borderId="0" pivotButton="0" quotePrefix="0" xfId="0"/>
    <xf numFmtId="4" fontId="9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10" fillId="0" borderId="0" pivotButton="0" quotePrefix="0" xfId="0"/>
    <xf numFmtId="166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69" fontId="0" fillId="0" borderId="0" pivotButton="0" quotePrefix="0" xfId="0"/>
    <xf numFmtId="167" fontId="0" fillId="0" borderId="0" pivotButton="0" quotePrefix="0" xfId="0"/>
    <xf numFmtId="169" fontId="8" fillId="4" borderId="0" pivotButton="0" quotePrefix="0" xfId="0"/>
    <xf numFmtId="166" fontId="0" fillId="0" borderId="0" pivotButton="0" quotePrefix="0" xfId="0"/>
    <xf numFmtId="0" fontId="8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9" fontId="7" fillId="3" borderId="0" pivotButton="0" quotePrefix="0" xfId="0"/>
    <xf numFmtId="167" fontId="11" fillId="2" borderId="0" applyAlignment="1" pivotButton="0" quotePrefix="0" xfId="0">
      <alignment horizontal="right"/>
    </xf>
    <xf numFmtId="169" fontId="6" fillId="0" borderId="0" pivotButton="0" quotePrefix="0" xfId="0"/>
    <xf numFmtId="170" fontId="0" fillId="0" borderId="0" pivotButton="0" quotePrefix="0" xfId="0"/>
    <xf numFmtId="169" fontId="9" fillId="0" borderId="0" pivotButton="0" quotePrefix="0" xfId="0"/>
    <xf numFmtId="170" fontId="8" fillId="0" borderId="0" pivotButton="0" quotePrefix="0" xfId="0"/>
    <xf numFmtId="170" fontId="0" fillId="4" borderId="0" pivotButton="0" quotePrefix="0" xfId="0"/>
    <xf numFmtId="4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9" fontId="6" fillId="0" borderId="0" applyAlignment="1" pivotButton="0" quotePrefix="0" xfId="0">
      <alignment horizontal="right"/>
    </xf>
    <xf numFmtId="173" fontId="6" fillId="0" borderId="0" applyAlignment="1" pivotButton="0" quotePrefix="0" xfId="0">
      <alignment horizontal="right"/>
    </xf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VERTIV HOLDINGS CO (NYSE: VRT)  INITIATION MODEL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Item</t>
        </is>
      </c>
      <c r="B4" s="4" t="inlineStr">
        <is>
          <t>Value</t>
        </is>
      </c>
      <c r="C4" s="4" t="inlineStr">
        <is>
          <t>Note</t>
        </is>
      </c>
    </row>
    <row r="5">
      <c r="A5" s="5" t="inlineStr">
        <is>
          <t>Call</t>
        </is>
      </c>
      <c r="B5" s="6">
        <f>Valuation!$B$12</f>
        <v/>
      </c>
      <c r="C5" s="7" t="inlineStr">
        <is>
          <t>Initiate at LONG. Published 6 October 2026, 19:29 HKT.</t>
        </is>
      </c>
    </row>
    <row r="6">
      <c r="A6" s="5" t="inlineStr">
        <is>
          <t>Target price, US$</t>
        </is>
      </c>
      <c r="B6" s="8">
        <f>Valuation!$B$8</f>
        <v/>
      </c>
      <c r="C6" s="7" t="inlineStr">
        <is>
          <t>28x 2028E EPS, rounded to the nearest US$10.</t>
        </is>
      </c>
    </row>
    <row r="7">
      <c r="A7" s="5" t="inlineStr">
        <is>
          <t>Reference price, US$</t>
        </is>
      </c>
      <c r="B7" s="8">
        <f>Assumptions!$B$7</f>
        <v/>
      </c>
      <c r="C7" s="7" t="inlineStr">
        <is>
          <t>NYSE close, 5 October 2026.</t>
        </is>
      </c>
    </row>
    <row r="8">
      <c r="A8" s="5" t="inlineStr">
        <is>
          <t>Upside to target</t>
        </is>
      </c>
      <c r="B8" s="9">
        <f>Valuation!$B$10</f>
        <v/>
      </c>
      <c r="C8" s="7" t="inlineStr"/>
    </row>
    <row r="9">
      <c r="A9" s="5" t="inlineStr">
        <is>
          <t>Conviction</t>
        </is>
      </c>
      <c r="B9" s="10" t="inlineStr">
        <is>
          <t>Medium</t>
        </is>
      </c>
      <c r="C9" s="7" t="inlineStr">
        <is>
          <t>Bear case is a 29% fall and Q3 results land within weeks.</t>
        </is>
      </c>
    </row>
    <row r="10">
      <c r="A10" s="5" t="inlineStr">
        <is>
          <t>Horizon</t>
        </is>
      </c>
      <c r="B10" s="10" t="inlineStr">
        <is>
          <t>12 months, to October 2027</t>
        </is>
      </c>
      <c r="C10" s="7" t="inlineStr"/>
    </row>
    <row r="11">
      <c r="A11" s="5" t="inlineStr">
        <is>
          <t>2027E / 2028E adjusted EPS, US$</t>
        </is>
      </c>
      <c r="B11" s="6">
        <f>TEXT(Financials!E10,"0.00")&amp;" / "&amp;TEXT(Financials!F10,"0.00")</f>
        <v/>
      </c>
      <c r="C11" s="7" t="inlineStr">
        <is>
          <t>Own estimates.</t>
        </is>
      </c>
    </row>
    <row r="12">
      <c r="A12" s="5" t="inlineStr">
        <is>
          <t>Probability-weighted value, US$</t>
        </is>
      </c>
      <c r="B12" s="8">
        <f>Scenarios!E11</f>
        <v/>
      </c>
      <c r="C12" s="7" t="inlineStr">
        <is>
          <t>25 / 50 / 25 bear / base / bull.</t>
        </is>
      </c>
    </row>
    <row r="13" ht="44" customHeight="1">
      <c r="A13" s="5" t="inlineStr">
        <is>
          <t>Wrong if</t>
        </is>
      </c>
      <c r="B13" s="10" t="inlineStr">
        <is>
          <t>See note</t>
        </is>
      </c>
      <c r="C13" s="7" t="inlineStr">
        <is>
          <t>Adjusted operating margin falls year on year in any quarter to mid 2027 while sales are still growing; or full year 2026 adjusted EPS lands below the US$6.65 bottom of Vertiv's own guide; or the 2026 annual report shows backlog below the US$15.0bn of a year earlier.</t>
        </is>
      </c>
    </row>
    <row r="16">
      <c r="A16" s="11" t="inlineStr">
        <is>
          <t>Tabs</t>
        </is>
      </c>
    </row>
    <row r="17">
      <c r="A17" t="inlineStr">
        <is>
          <t>Assumptions</t>
        </is>
      </c>
      <c r="B17" t="inlineStr">
        <is>
          <t>Every input, with its source. Change the yellow cells to move the target.</t>
        </is>
      </c>
    </row>
    <row r="18">
      <c r="A18" t="inlineStr">
        <is>
          <t>Financials</t>
        </is>
      </c>
      <c r="B18" t="inlineStr">
        <is>
          <t>2024A to 2028E: sales, margin, operating profit, the EPS bridge, P/E.</t>
        </is>
      </c>
    </row>
    <row r="19">
      <c r="A19" t="inlineStr">
        <is>
          <t>Valuation</t>
        </is>
      </c>
      <c r="B19" t="inlineStr">
        <is>
          <t>Target price, market value, net cash, multiple cross-checks.</t>
        </is>
      </c>
    </row>
    <row r="20">
      <c r="A20" t="inlineStr">
        <is>
          <t>Scenarios</t>
        </is>
      </c>
      <c r="B20" t="inlineStr">
        <is>
          <t>Bear / base / bull and the probability-weighted value.</t>
        </is>
      </c>
    </row>
    <row r="21">
      <c r="A21" t="inlineStr">
        <is>
          <t>Sensitivity</t>
        </is>
      </c>
      <c r="B21" t="inlineStr">
        <is>
          <t>2028E EPS against multiple.</t>
        </is>
      </c>
    </row>
    <row r="22">
      <c r="A22" t="inlineStr">
        <is>
          <t>Quarterly</t>
        </is>
      </c>
      <c r="B22" t="inlineStr">
        <is>
          <t>Q1 2024 to Q2 2026: sales, margin, organic products and service growth, orders and backlog.</t>
        </is>
      </c>
    </row>
    <row r="23">
      <c r="A23" t="inlineStr">
        <is>
          <t>Peers</t>
        </is>
      </c>
      <c r="B23" t="inlineStr">
        <is>
          <t>Forward multiples used to set the base multiple.</t>
        </is>
      </c>
    </row>
    <row r="24">
      <c r="A24" t="inlineStr">
        <is>
          <t>Sources</t>
        </is>
      </c>
      <c r="B24" t="inlineStr">
        <is>
          <t>Every source used.</t>
        </is>
      </c>
    </row>
    <row r="26">
      <c r="A26" s="12" t="inlineStr">
        <is>
          <t>Colour key: blue = hardcoded input; yellow fill = my own assumption; green = link to another tab; black = formula.</t>
        </is>
      </c>
    </row>
    <row r="27">
      <c r="A27" s="12" t="inlineStr">
        <is>
          <t>Companion note: 2026-10-06_Vertiv_Initiation.pdf. Personal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92" customWidth="1" min="4" max="4"/>
  </cols>
  <sheetData>
    <row r="1">
      <c r="A1" s="1" t="inlineStr">
        <is>
          <t>ASSUMPTIONS AND INPUTS</t>
        </is>
      </c>
    </row>
    <row r="2">
      <c r="A2" s="2" t="inlineStr">
        <is>
          <t>Tommy Lau | Vertiv (NYSE: VRT) | 6 October 2026 | Personal research, not investment advice.</t>
        </is>
      </c>
    </row>
    <row r="3">
      <c r="A3" s="12" t="inlineStr">
        <is>
          <t>Blue = hardcoded input. Yellow fill = my own assumption (change these to move the target). Green = link to another tab. Black = formula. US$ billion unless stated.</t>
        </is>
      </c>
    </row>
    <row r="5">
      <c r="A5" s="3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11" t="inlineStr">
        <is>
          <t>MARKET</t>
        </is>
      </c>
    </row>
    <row r="7">
      <c r="A7" t="inlineStr">
        <is>
          <t>Reference share price</t>
        </is>
      </c>
      <c r="B7" s="13" t="n">
        <v>253.62</v>
      </c>
      <c r="C7" t="inlineStr">
        <is>
          <t>US$</t>
        </is>
      </c>
      <c r="D7" s="7" t="inlineStr">
        <is>
          <t>NYSE close, 5 October 2026. Yahoo Finance, retrieved 6 October 2026.</t>
        </is>
      </c>
    </row>
    <row r="8">
      <c r="A8" t="inlineStr">
        <is>
          <t>Intraday peak share price, 14 May 2026</t>
        </is>
      </c>
      <c r="B8" s="13" t="n">
        <v>379.94</v>
      </c>
      <c r="C8" t="inlineStr">
        <is>
          <t>US$</t>
        </is>
      </c>
      <c r="D8" s="7" t="inlineStr">
        <is>
          <t>Yahoo Finance, retrieved 6 October 2026.</t>
        </is>
      </c>
    </row>
    <row r="9">
      <c r="A9" t="inlineStr">
        <is>
          <t>Diluted shares</t>
        </is>
      </c>
      <c r="B9" s="14" t="n">
        <v>392.7</v>
      </c>
      <c r="C9" t="inlineStr">
        <is>
          <t>m</t>
        </is>
      </c>
      <c r="D9" s="7" t="inlineStr">
        <is>
          <t>Vertiv Form 10-Q, quarter to 30 June 2026, filed 29 July 2026.</t>
        </is>
      </c>
    </row>
    <row r="10">
      <c r="A10" t="inlineStr">
        <is>
          <t>Cash and cash equivalents, 30 Jun 2026</t>
        </is>
      </c>
      <c r="B10" s="14" t="n">
        <v>2810.6</v>
      </c>
      <c r="C10" t="inlineStr">
        <is>
          <t>US$m</t>
        </is>
      </c>
      <c r="D10" s="7" t="inlineStr">
        <is>
          <t>Vertiv Form 10-Q, quarter to 30 June 2026.</t>
        </is>
      </c>
    </row>
    <row r="11">
      <c r="A11" t="inlineStr">
        <is>
          <t>Short-term investments, 30 Jun 2026</t>
        </is>
      </c>
      <c r="B11" s="14" t="n">
        <v>300</v>
      </c>
      <c r="C11" t="inlineStr">
        <is>
          <t>US$m</t>
        </is>
      </c>
      <c r="D11" s="7" t="inlineStr">
        <is>
          <t>Vertiv Form 10-Q, quarter to 30 June 2026.</t>
        </is>
      </c>
    </row>
    <row r="12">
      <c r="A12" t="inlineStr">
        <is>
          <t>Total debt, 30 Jun 2026</t>
        </is>
      </c>
      <c r="B12" s="14" t="n">
        <v>2939.8</v>
      </c>
      <c r="C12" t="inlineStr">
        <is>
          <t>US$m</t>
        </is>
      </c>
      <c r="D12" s="7" t="inlineStr">
        <is>
          <t>Vertiv Form 10-Q, quarter to 30 June 2026.</t>
        </is>
      </c>
    </row>
    <row r="13">
      <c r="A13" t="inlineStr">
        <is>
          <t>2027 consensus adjusted EPS</t>
        </is>
      </c>
      <c r="B13" s="13" t="n">
        <v>8.93</v>
      </c>
      <c r="C13" t="inlineStr">
        <is>
          <t>US$</t>
        </is>
      </c>
      <c r="D13" s="7" t="inlineStr">
        <is>
          <t>MarketBeat, retrieved 6 October 2026. Cross-check only.</t>
        </is>
      </c>
    </row>
    <row r="14">
      <c r="A14" t="inlineStr">
        <is>
          <t>Forward P/E shown by stockanalysis.com</t>
        </is>
      </c>
      <c r="B14" s="15" t="n">
        <v>32.1</v>
      </c>
      <c r="C14" t="inlineStr">
        <is>
          <t>x</t>
        </is>
      </c>
      <c r="D14" s="7" t="inlineStr">
        <is>
          <t>stockanalysis.com, retrieved 6 October 2026. Cross-check only.</t>
        </is>
      </c>
    </row>
    <row r="15">
      <c r="A15" s="11" t="inlineStr">
        <is>
          <t>REPORTED</t>
        </is>
      </c>
    </row>
    <row r="16">
      <c r="A16" t="inlineStr">
        <is>
          <t>2024 net sales</t>
        </is>
      </c>
      <c r="B16" s="13" t="n">
        <v>8.01</v>
      </c>
      <c r="C16" t="inlineStr">
        <is>
          <t>US$bn</t>
        </is>
      </c>
      <c r="D16" s="7" t="inlineStr">
        <is>
          <t>Sum of the four 2024 quarterly results releases (Form 8-K, Exhibit 99.1).</t>
        </is>
      </c>
    </row>
    <row r="17">
      <c r="A17" t="inlineStr">
        <is>
          <t>2025 net sales</t>
        </is>
      </c>
      <c r="B17" s="13" t="n">
        <v>10.23</v>
      </c>
      <c r="C17" t="inlineStr">
        <is>
          <t>US$bn</t>
        </is>
      </c>
      <c r="D17" s="7" t="inlineStr">
        <is>
          <t>Sum of the four 2025 quarterly results releases. Rounded quarters on the Quarterly tab sum to 10.24.</t>
        </is>
      </c>
    </row>
    <row r="18">
      <c r="A18" t="inlineStr">
        <is>
          <t>2024 adjusted operating margin</t>
        </is>
      </c>
      <c r="B18" s="16" t="n">
        <v>0.194</v>
      </c>
      <c r="C18" t="inlineStr">
        <is>
          <t>%</t>
        </is>
      </c>
      <c r="D18" s="7" t="inlineStr">
        <is>
          <t>Vertiv results releases.</t>
        </is>
      </c>
    </row>
    <row r="19">
      <c r="A19" t="inlineStr">
        <is>
          <t>2025 adjusted operating margin</t>
        </is>
      </c>
      <c r="B19" s="16" t="n">
        <v>0.204</v>
      </c>
      <c r="C19" t="inlineStr">
        <is>
          <t>%</t>
        </is>
      </c>
      <c r="D19" s="7" t="inlineStr">
        <is>
          <t>Vertiv results releases.</t>
        </is>
      </c>
    </row>
    <row r="20">
      <c r="A20" t="inlineStr">
        <is>
          <t>2024 adjusted EPS</t>
        </is>
      </c>
      <c r="B20" s="13" t="n">
        <v>2.85</v>
      </c>
      <c r="C20" t="inlineStr">
        <is>
          <t>US$</t>
        </is>
      </c>
      <c r="D20" s="7" t="inlineStr">
        <is>
          <t>Sum of the four 2024 quarterly results releases.</t>
        </is>
      </c>
    </row>
    <row r="21">
      <c r="A21" t="inlineStr">
        <is>
          <t>2025 adjusted EPS</t>
        </is>
      </c>
      <c r="B21" s="13" t="n">
        <v>4.19</v>
      </c>
      <c r="C21" t="inlineStr">
        <is>
          <t>US$</t>
        </is>
      </c>
      <c r="D21" s="7" t="inlineStr">
        <is>
          <t>Sum of the four 2025 quarterly results releases.</t>
        </is>
      </c>
    </row>
    <row r="22">
      <c r="A22" s="11" t="inlineStr">
        <is>
          <t>2026 GUIDE (release of 29 July 2026)</t>
        </is>
      </c>
    </row>
    <row r="23">
      <c r="A23" t="inlineStr">
        <is>
          <t>2026 net sales guide, low</t>
        </is>
      </c>
      <c r="B23" s="13" t="n">
        <v>13.8</v>
      </c>
      <c r="C23" t="inlineStr">
        <is>
          <t>US$bn</t>
        </is>
      </c>
      <c r="D23" s="7" t="inlineStr">
        <is>
          <t>Raised from US$13.25 to 13.75bn in February 2026.</t>
        </is>
      </c>
    </row>
    <row r="24">
      <c r="A24" t="inlineStr">
        <is>
          <t>2026 net sales guide, high</t>
        </is>
      </c>
      <c r="B24" s="13" t="n">
        <v>14.2</v>
      </c>
      <c r="C24" t="inlineStr">
        <is>
          <t>US$bn</t>
        </is>
      </c>
      <c r="D24" s="7" t="inlineStr">
        <is>
          <t>Vertiv second quarter 2026 results release.</t>
        </is>
      </c>
    </row>
    <row r="25">
      <c r="A25" t="inlineStr">
        <is>
          <t>2026 adjusted operating margin guide, low</t>
        </is>
      </c>
      <c r="B25" s="16" t="n">
        <v>0.233</v>
      </c>
      <c r="C25" t="inlineStr">
        <is>
          <t>%</t>
        </is>
      </c>
      <c r="D25" s="7" t="inlineStr">
        <is>
          <t>Vertiv second quarter 2026 results release.</t>
        </is>
      </c>
    </row>
    <row r="26">
      <c r="A26" t="inlineStr">
        <is>
          <t>2026 adjusted operating margin guide, high</t>
        </is>
      </c>
      <c r="B26" s="16" t="n">
        <v>0.243</v>
      </c>
      <c r="C26" t="inlineStr">
        <is>
          <t>%</t>
        </is>
      </c>
      <c r="D26" s="7" t="inlineStr">
        <is>
          <t>Vertiv second quarter 2026 results release.</t>
        </is>
      </c>
    </row>
    <row r="27">
      <c r="A27" t="inlineStr">
        <is>
          <t>2026 adjusted EPS guide, low</t>
        </is>
      </c>
      <c r="B27" s="13" t="n">
        <v>6.65</v>
      </c>
      <c r="C27" t="inlineStr">
        <is>
          <t>US$</t>
        </is>
      </c>
      <c r="D27" s="7" t="inlineStr">
        <is>
          <t>Bottom of the guide is part of the falsifier (US$6.65).</t>
        </is>
      </c>
    </row>
    <row r="28">
      <c r="A28" t="inlineStr">
        <is>
          <t>2026 adjusted EPS guide, high</t>
        </is>
      </c>
      <c r="B28" s="13" t="n">
        <v>6.75</v>
      </c>
      <c r="C28" t="inlineStr">
        <is>
          <t>US$</t>
        </is>
      </c>
      <c r="D28" s="7" t="inlineStr">
        <is>
          <t>Vertiv second quarter 2026 results release.</t>
        </is>
      </c>
    </row>
    <row r="29">
      <c r="A29" t="inlineStr">
        <is>
          <t>2026 adjusted operating profit guide, midpoint</t>
        </is>
      </c>
      <c r="B29" s="13" t="n">
        <v>3.325</v>
      </c>
      <c r="C29" t="inlineStr">
        <is>
          <t>US$bn</t>
        </is>
      </c>
      <c r="D29" s="7" t="inlineStr">
        <is>
          <t>Vertiv second quarter 2026 results release, midpoint.</t>
        </is>
      </c>
    </row>
    <row r="30">
      <c r="A30" t="inlineStr">
        <is>
          <t>2026 adjusted EPS guide at the May peak, midpoint</t>
        </is>
      </c>
      <c r="B30" s="13" t="n">
        <v>6.35</v>
      </c>
      <c r="C30" t="inlineStr">
        <is>
          <t>US$</t>
        </is>
      </c>
      <c r="D30" s="7" t="inlineStr">
        <is>
          <t>Guide of the time, US$6.30 to 6.40. Used only for the peak-multiple cross-check.</t>
        </is>
      </c>
    </row>
    <row r="31">
      <c r="A31" s="11" t="inlineStr">
        <is>
          <t>MY ASSUMPTIONS</t>
        </is>
      </c>
    </row>
    <row r="32">
      <c r="A32" t="inlineStr">
        <is>
          <t>2027 net sales growth</t>
        </is>
      </c>
      <c r="B32" s="17" t="n">
        <v>0.21</v>
      </c>
      <c r="C32" t="inlineStr">
        <is>
          <t>%</t>
        </is>
      </c>
      <c r="D32" s="7" t="inlineStr">
        <is>
          <t>MY ASSUMPTION. Inside Vertiv's long-run target of 20 to 22% organic growth a year.</t>
        </is>
      </c>
    </row>
    <row r="33">
      <c r="A33" t="inlineStr">
        <is>
          <t>2028 net sales growth</t>
        </is>
      </c>
      <c r="B33" s="17" t="n">
        <v>0.2</v>
      </c>
      <c r="C33" t="inlineStr">
        <is>
          <t>%</t>
        </is>
      </c>
      <c r="D33" s="7" t="inlineStr">
        <is>
          <t>MY ASSUMPTION. Same basis.</t>
        </is>
      </c>
    </row>
    <row r="34">
      <c r="A34" t="inlineStr">
        <is>
          <t>2027 adjusted operating margin</t>
        </is>
      </c>
      <c r="B34" s="17" t="n">
        <v>0.25</v>
      </c>
      <c r="C34" t="inlineStr">
        <is>
          <t>%</t>
        </is>
      </c>
      <c r="D34" s="7" t="inlineStr">
        <is>
          <t>MY ASSUMPTION. About one point a year towards the 2030 target of about 27% or more (Investor Conference, 19 May 2026).</t>
        </is>
      </c>
    </row>
    <row r="35">
      <c r="A35" t="inlineStr">
        <is>
          <t>2028 adjusted operating margin</t>
        </is>
      </c>
      <c r="B35" s="17" t="n">
        <v>0.26</v>
      </c>
      <c r="C35" t="inlineStr">
        <is>
          <t>%</t>
        </is>
      </c>
      <c r="D35" s="7" t="inlineStr">
        <is>
          <t>MY ASSUMPTION. Same basis.</t>
        </is>
      </c>
    </row>
    <row r="36">
      <c r="A36" t="inlineStr">
        <is>
          <t>Target multiple on 2028E EPS (base)</t>
        </is>
      </c>
      <c r="B36" s="18" t="n">
        <v>28</v>
      </c>
      <c r="C36" t="inlineStr">
        <is>
          <t>x</t>
        </is>
      </c>
      <c r="D36" s="7" t="inlineStr">
        <is>
          <t>MY ASSUMPTION. In line with Eaton, nVent and Trane at about 28.5 to 29x forward (Peers tab).</t>
        </is>
      </c>
    </row>
    <row r="37">
      <c r="A37" t="inlineStr">
        <is>
          <t>Target price rounding</t>
        </is>
      </c>
      <c r="B37" s="13" t="n">
        <v>10</v>
      </c>
      <c r="C37" t="inlineStr">
        <is>
          <t>US$</t>
        </is>
      </c>
      <c r="D37" s="7" t="inlineStr">
        <is>
          <t>Base value rounded to the nearest US$10 for the published target.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FINANCIAL SUMMARY AND FORECASTS (US$ billion unless stated)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/>
      <c r="B4" s="4" t="inlineStr">
        <is>
          <t>2024A</t>
        </is>
      </c>
      <c r="C4" s="4" t="inlineStr">
        <is>
          <t>2025A</t>
        </is>
      </c>
      <c r="D4" s="4" t="inlineStr">
        <is>
          <t>2026 guide</t>
        </is>
      </c>
      <c r="E4" s="4" t="inlineStr">
        <is>
          <t>2027E*</t>
        </is>
      </c>
      <c r="F4" s="4" t="inlineStr">
        <is>
          <t>2028E*</t>
        </is>
      </c>
    </row>
    <row r="5">
      <c r="A5" s="5" t="inlineStr">
        <is>
          <t>Net sales</t>
        </is>
      </c>
      <c r="B5" s="19">
        <f>Assumptions!$B$16</f>
        <v/>
      </c>
      <c r="C5" s="19">
        <f>Assumptions!$B$17</f>
        <v/>
      </c>
      <c r="D5" s="20">
        <f>AVERAGE(Assumptions!$B$23,Assumptions!$B$24)</f>
        <v/>
      </c>
      <c r="E5" s="20">
        <f>D5*(1+Assumptions!$B$32)</f>
        <v/>
      </c>
      <c r="F5" s="20">
        <f>E5*(1+Assumptions!$B$33)</f>
        <v/>
      </c>
    </row>
    <row r="6">
      <c r="A6" s="21" t="inlineStr">
        <is>
          <t>Net sales growth</t>
        </is>
      </c>
      <c r="B6" s="22" t="inlineStr"/>
      <c r="C6" s="22">
        <f>C5/B5-1</f>
        <v/>
      </c>
      <c r="D6" s="22">
        <f>D5/C5-1</f>
        <v/>
      </c>
      <c r="E6" s="22">
        <f>E5/D5-1</f>
        <v/>
      </c>
      <c r="F6" s="22">
        <f>F5/E5-1</f>
        <v/>
      </c>
    </row>
    <row r="7">
      <c r="A7" s="21" t="inlineStr">
        <is>
          <t>Adjusted operating margin</t>
        </is>
      </c>
      <c r="B7" s="9">
        <f>Assumptions!$B$18</f>
        <v/>
      </c>
      <c r="C7" s="9">
        <f>Assumptions!$B$19</f>
        <v/>
      </c>
      <c r="D7" s="22">
        <f>AVERAGE(Assumptions!$B$25,Assumptions!$B$26)</f>
        <v/>
      </c>
      <c r="E7" s="9">
        <f>Assumptions!$B$34</f>
        <v/>
      </c>
      <c r="F7" s="9">
        <f>Assumptions!$B$35</f>
        <v/>
      </c>
    </row>
    <row r="8">
      <c r="A8" s="5" t="inlineStr">
        <is>
          <t>Adjusted operating profit</t>
        </is>
      </c>
      <c r="B8" s="20">
        <f>B5*B7</f>
        <v/>
      </c>
      <c r="C8" s="20">
        <f>C5*C7</f>
        <v/>
      </c>
      <c r="D8" s="19">
        <f>Assumptions!$B$29</f>
        <v/>
      </c>
      <c r="E8" s="20">
        <f>E5*E7</f>
        <v/>
      </c>
      <c r="F8" s="20">
        <f>F5*F7</f>
        <v/>
      </c>
    </row>
    <row r="9">
      <c r="A9" s="21" t="inlineStr">
        <is>
          <t>EPS per US$bn of adjusted operating profit</t>
        </is>
      </c>
      <c r="B9" s="23" t="inlineStr"/>
      <c r="C9" s="23" t="inlineStr"/>
      <c r="D9" s="23">
        <f>AVERAGE(Assumptions!$B$27,Assumptions!$B$28)/D8</f>
        <v/>
      </c>
      <c r="E9" s="23">
        <f>D9</f>
        <v/>
      </c>
      <c r="F9" s="23">
        <f>E9</f>
        <v/>
      </c>
    </row>
    <row r="10">
      <c r="A10" s="5" t="inlineStr">
        <is>
          <t>Adjusted EPS, US$</t>
        </is>
      </c>
      <c r="B10" s="8">
        <f>Assumptions!$B$20</f>
        <v/>
      </c>
      <c r="C10" s="8">
        <f>Assumptions!$B$21</f>
        <v/>
      </c>
      <c r="D10" s="24">
        <f>AVERAGE(Assumptions!$B$27,Assumptions!$B$28)</f>
        <v/>
      </c>
      <c r="E10" s="24">
        <f>E8*E9</f>
        <v/>
      </c>
      <c r="F10" s="24">
        <f>F8*F9</f>
        <v/>
      </c>
    </row>
    <row r="11">
      <c r="A11" s="21" t="inlineStr">
        <is>
          <t>Adjusted EPS growth</t>
        </is>
      </c>
      <c r="B11" s="22" t="inlineStr"/>
      <c r="C11" s="22">
        <f>C10/B10-1</f>
        <v/>
      </c>
      <c r="D11" s="22">
        <f>D10/C10-1</f>
        <v/>
      </c>
      <c r="E11" s="22">
        <f>E10/D10-1</f>
        <v/>
      </c>
      <c r="F11" s="22">
        <f>F10/E10-1</f>
        <v/>
      </c>
    </row>
    <row r="12">
      <c r="A12" s="21" t="inlineStr">
        <is>
          <t>P/E at reference price</t>
        </is>
      </c>
      <c r="B12" s="25" t="inlineStr"/>
      <c r="C12" s="25" t="inlineStr"/>
      <c r="D12" s="26">
        <f>Assumptions!$B$7/D10</f>
        <v/>
      </c>
      <c r="E12" s="26">
        <f>Assumptions!$B$7/E10</f>
        <v/>
      </c>
      <c r="F12" s="26">
        <f>Assumptions!$B$7/F10</f>
        <v/>
      </c>
    </row>
    <row r="14">
      <c r="A14" s="12" t="inlineStr">
        <is>
          <t>*2027E and 2028E are my own estimates, not Vertiv's. 2026 is the midpoint of Vertiv's own guide of 29 July 2026.</t>
        </is>
      </c>
    </row>
    <row r="15">
      <c r="A15" s="12" t="inlineStr">
        <is>
          <t>2024A and 2025A adjusted operating profit are derived as sales x margin; they are not separately sourced figures.</t>
        </is>
      </c>
    </row>
    <row r="16">
      <c r="A16" s="12" t="inlineStr">
        <is>
          <t>EPS bridge: earnings are tied to adjusted operating profit at the ratio implied by the 2026 guide midpoints (US$6.70 EPS per US$3.325bn</t>
        </is>
      </c>
    </row>
    <row r="17">
      <c r="A17" s="12" t="inlineStr">
        <is>
          <t>of operating profit). This carries the current tax rate, interest cost and share count forward unchanged.</t>
        </is>
      </c>
    </row>
    <row r="18">
      <c r="A18" s="12" t="inlineStr">
        <is>
          <t>Pitch check: 2027E sales 16.94, EPS 8.53; 2028E sales 20.33, EPS 10.65; P/E 37.9x / 29.7x / 23.8x.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VALUATION: 28x 2028E EPS, TWELVE MONTHS OUT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2028E adjusted EPS, US$</t>
        </is>
      </c>
      <c r="B5" s="27">
        <f>Financials!F10</f>
        <v/>
      </c>
      <c r="C5" s="7" t="inlineStr">
        <is>
          <t>Financials tab. The market will be pricing 2028 by October 2027.</t>
        </is>
      </c>
    </row>
    <row r="6">
      <c r="A6" t="inlineStr">
        <is>
          <t>Target multiple, x</t>
        </is>
      </c>
      <c r="B6" s="28">
        <f>Assumptions!$B$36</f>
        <v/>
      </c>
      <c r="C6" s="7" t="inlineStr">
        <is>
          <t>Assumptions tab.</t>
        </is>
      </c>
    </row>
    <row r="7">
      <c r="A7" t="inlineStr">
        <is>
          <t>Base-case value, US$</t>
        </is>
      </c>
      <c r="B7" s="27">
        <f>B5*B6</f>
        <v/>
      </c>
      <c r="C7" s="7" t="inlineStr">
        <is>
          <t>EPS x multiple.</t>
        </is>
      </c>
    </row>
    <row r="8">
      <c r="A8" s="5" t="inlineStr">
        <is>
          <t>TARGET PRICE, US$</t>
        </is>
      </c>
      <c r="B8" s="29">
        <f>ROUND(B7/Assumptions!$B$37,0)*Assumptions!$B$37</f>
        <v/>
      </c>
      <c r="C8" s="7" t="inlineStr">
        <is>
          <t>Base value rounded to the nearest US$10.</t>
        </is>
      </c>
    </row>
    <row r="9">
      <c r="A9" t="inlineStr">
        <is>
          <t>Reference price, US$</t>
        </is>
      </c>
      <c r="B9" s="27">
        <f>Assumptions!$B$7</f>
        <v/>
      </c>
      <c r="C9" s="7" t="inlineStr">
        <is>
          <t>NYSE close, 5 October 2026.</t>
        </is>
      </c>
    </row>
    <row r="10">
      <c r="A10" t="inlineStr">
        <is>
          <t>Upside to target</t>
        </is>
      </c>
      <c r="B10" s="30">
        <f>B8/B9-1</f>
        <v/>
      </c>
      <c r="C10" s="7" t="inlineStr">
        <is>
          <t>Published as +18%.</t>
        </is>
      </c>
    </row>
    <row r="11">
      <c r="A11" t="inlineStr">
        <is>
          <t>Upside to unrounded base value</t>
        </is>
      </c>
      <c r="B11" s="30">
        <f>B7/B9-1</f>
        <v/>
      </c>
      <c r="C11" s="7" t="inlineStr"/>
    </row>
    <row r="12">
      <c r="A12" s="5" t="inlineStr">
        <is>
          <t>CALL</t>
        </is>
      </c>
      <c r="B12" s="31">
        <f>IF(B10&gt;0,"LONG","NO CALL")</f>
        <v/>
      </c>
      <c r="C12" s="7" t="inlineStr">
        <is>
          <t>LONG / NO CALL is the site's convention. Conviction Medium (judgement, not formula).</t>
        </is>
      </c>
    </row>
    <row r="13">
      <c r="A13" t="inlineStr"/>
      <c r="C13" s="7" t="inlineStr"/>
    </row>
    <row r="14">
      <c r="A14" t="inlineStr">
        <is>
          <t>Market value, US$bn</t>
        </is>
      </c>
      <c r="B14" s="32">
        <f>Assumptions!$B$9*Assumptions!$B$7/1000</f>
        <v/>
      </c>
      <c r="C14" s="7" t="inlineStr">
        <is>
          <t>Diluted shares x price.</t>
        </is>
      </c>
    </row>
    <row r="15">
      <c r="A15" t="inlineStr">
        <is>
          <t>Net cash, US$m</t>
        </is>
      </c>
      <c r="B15" s="33">
        <f>Assumptions!$B$10+Assumptions!$B$11-Assumptions!$B$12</f>
        <v/>
      </c>
      <c r="C15" s="7" t="inlineStr">
        <is>
          <t>Cash + short-term investments - debt, 30 June 2026.</t>
        </is>
      </c>
    </row>
    <row r="16">
      <c r="A16" t="inlineStr">
        <is>
          <t>Enterprise value, US$bn</t>
        </is>
      </c>
      <c r="B16" s="32">
        <f>B14-B15/1000</f>
        <v/>
      </c>
      <c r="C16" s="7" t="inlineStr">
        <is>
          <t>Market value less net cash.</t>
        </is>
      </c>
    </row>
    <row r="17">
      <c r="A17" t="inlineStr"/>
      <c r="C17" s="7" t="inlineStr"/>
    </row>
    <row r="18">
      <c r="A18" t="inlineStr">
        <is>
          <t>P/E on 2026 guide midpoint</t>
        </is>
      </c>
      <c r="B18" s="34">
        <f>Assumptions!$B$7/Financials!D10</f>
        <v/>
      </c>
      <c r="C18" s="7" t="inlineStr">
        <is>
          <t>Published as 37.9x.</t>
        </is>
      </c>
    </row>
    <row r="19">
      <c r="A19" t="inlineStr">
        <is>
          <t>P/E on 2027 consensus</t>
        </is>
      </c>
      <c r="B19" s="34">
        <f>Assumptions!$B$7/Assumptions!$B$13</f>
        <v/>
      </c>
      <c r="C19" s="7" t="inlineStr">
        <is>
          <t>Published as 28.4x (MarketBeat US$8.93).</t>
        </is>
      </c>
    </row>
    <row r="20">
      <c r="A20" t="inlineStr">
        <is>
          <t>P/E on my 2027E</t>
        </is>
      </c>
      <c r="B20" s="34">
        <f>Assumptions!$B$7/Financials!E10</f>
        <v/>
      </c>
      <c r="C20" s="7" t="inlineStr">
        <is>
          <t>Published as 29.7x.</t>
        </is>
      </c>
    </row>
    <row r="21">
      <c r="A21" t="inlineStr">
        <is>
          <t>P/E on my 2028E</t>
        </is>
      </c>
      <c r="B21" s="34">
        <f>Assumptions!$B$7/Financials!F10</f>
        <v/>
      </c>
      <c r="C21" s="7" t="inlineStr">
        <is>
          <t>Published as 23.8x.</t>
        </is>
      </c>
    </row>
    <row r="22">
      <c r="A22" t="inlineStr">
        <is>
          <t>My 2027E EPS against consensus</t>
        </is>
      </c>
      <c r="B22" s="30">
        <f>Financials!E10/Assumptions!$B$13-1</f>
        <v/>
      </c>
      <c r="C22" s="7" t="inlineStr">
        <is>
          <t>Published as about 4% below.</t>
        </is>
      </c>
    </row>
    <row r="23">
      <c r="A23" t="inlineStr">
        <is>
          <t>P/E at the May peak on that day's 2026 guide</t>
        </is>
      </c>
      <c r="B23" s="34">
        <f>Assumptions!$B$8/Assumptions!$B$30</f>
        <v/>
      </c>
      <c r="C23" s="7" t="inlineStr">
        <is>
          <t>Published as about 59x (intraday peak over the US$6.30 to 6.40 guide midpoint).</t>
        </is>
      </c>
    </row>
    <row r="24">
      <c r="A24" t="inlineStr">
        <is>
          <t>Target price on 2027E EPS</t>
        </is>
      </c>
      <c r="B24" s="34">
        <f>B8/Financials!E10</f>
        <v/>
      </c>
      <c r="C24" s="7" t="inlineStr">
        <is>
          <t>Cross-check: the target on next year's earnings.</t>
        </is>
      </c>
    </row>
    <row r="25">
      <c r="A25" t="inlineStr">
        <is>
          <t>Vertiv forward P/E premium to Eaton / nVent / Trane (28.75x)</t>
        </is>
      </c>
      <c r="B25" s="30">
        <f>Assumptions!$B$14/Peers!C6-1</f>
        <v/>
      </c>
      <c r="C25" s="7" t="inlineStr">
        <is>
          <t>stockanalysis.com forward multiples, 6 October 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THREE CASES, TWELVE MONTHS OUT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Case</t>
        </is>
      </c>
      <c r="B4" s="4" t="inlineStr">
        <is>
          <t>2027 growth</t>
        </is>
      </c>
      <c r="C4" s="4" t="inlineStr">
        <is>
          <t>2028 growth</t>
        </is>
      </c>
      <c r="D4" s="4" t="inlineStr">
        <is>
          <t>2028 margin</t>
        </is>
      </c>
      <c r="E4" s="4" t="inlineStr">
        <is>
          <t>2027 sales</t>
        </is>
      </c>
      <c r="F4" s="4" t="inlineStr">
        <is>
          <t>2028 sales</t>
        </is>
      </c>
      <c r="G4" s="4" t="inlineStr">
        <is>
          <t>2028 adj OP</t>
        </is>
      </c>
      <c r="H4" s="4" t="inlineStr">
        <is>
          <t>2028 EPS</t>
        </is>
      </c>
      <c r="I4" s="4" t="inlineStr">
        <is>
          <t>Multiple</t>
        </is>
      </c>
      <c r="J4" s="4" t="inlineStr">
        <is>
          <t>Value, US$</t>
        </is>
      </c>
      <c r="K4" s="4" t="inlineStr">
        <is>
          <t>vs price</t>
        </is>
      </c>
    </row>
    <row r="5">
      <c r="A5" s="5" t="inlineStr">
        <is>
          <t>Bear</t>
        </is>
      </c>
      <c r="B5" s="17" t="n">
        <v>0.11</v>
      </c>
      <c r="C5" s="17" t="n">
        <v>0.11</v>
      </c>
      <c r="D5" s="17" t="n">
        <v>0.235</v>
      </c>
      <c r="E5" s="32">
        <f>Financials!$D$5*(1+B5)</f>
        <v/>
      </c>
      <c r="F5" s="32">
        <f>E5*(1+C5)</f>
        <v/>
      </c>
      <c r="G5" s="32">
        <f>F5*D5</f>
        <v/>
      </c>
      <c r="H5" s="27">
        <f>G5*Financials!$E$9</f>
        <v/>
      </c>
      <c r="I5" s="18" t="n">
        <v>22</v>
      </c>
      <c r="J5" s="27">
        <f>H5*I5</f>
        <v/>
      </c>
      <c r="K5" s="35">
        <f>J5/Assumptions!$B$7-1</f>
        <v/>
      </c>
    </row>
    <row r="6">
      <c r="A6" s="5" t="inlineStr">
        <is>
          <t>Base</t>
        </is>
      </c>
      <c r="B6" s="36">
        <f>Assumptions!$B$32</f>
        <v/>
      </c>
      <c r="C6" s="36">
        <f>Assumptions!$B$33</f>
        <v/>
      </c>
      <c r="D6" s="36">
        <f>Assumptions!$B$35</f>
        <v/>
      </c>
      <c r="E6" s="32">
        <f>Financials!$D$5*(1+B6)</f>
        <v/>
      </c>
      <c r="F6" s="32">
        <f>E6*(1+C6)</f>
        <v/>
      </c>
      <c r="G6" s="32">
        <f>F6*D6</f>
        <v/>
      </c>
      <c r="H6" s="27">
        <f>G6*Financials!$E$9</f>
        <v/>
      </c>
      <c r="I6" s="37">
        <f>Assumptions!$B$36</f>
        <v/>
      </c>
      <c r="J6" s="27">
        <f>H6*I6</f>
        <v/>
      </c>
      <c r="K6" s="35">
        <f>J6/Assumptions!$B$7-1</f>
        <v/>
      </c>
    </row>
    <row r="7">
      <c r="A7" s="5" t="inlineStr">
        <is>
          <t>Bull</t>
        </is>
      </c>
      <c r="B7" s="17" t="n">
        <v>0.23</v>
      </c>
      <c r="C7" s="17" t="n">
        <v>0.23</v>
      </c>
      <c r="D7" s="17" t="n">
        <v>0.27</v>
      </c>
      <c r="E7" s="32">
        <f>Financials!$D$5*(1+B7)</f>
        <v/>
      </c>
      <c r="F7" s="32">
        <f>E7*(1+C7)</f>
        <v/>
      </c>
      <c r="G7" s="32">
        <f>F7*D7</f>
        <v/>
      </c>
      <c r="H7" s="27">
        <f>G7*Financials!$E$9</f>
        <v/>
      </c>
      <c r="I7" s="18" t="n">
        <v>34</v>
      </c>
      <c r="J7" s="27">
        <f>H7*I7</f>
        <v/>
      </c>
      <c r="K7" s="35">
        <f>J7/Assumptions!$B$7-1</f>
        <v/>
      </c>
    </row>
    <row r="8">
      <c r="B8" s="5" t="inlineStr">
        <is>
          <t>Bear</t>
        </is>
      </c>
      <c r="C8" s="5" t="inlineStr">
        <is>
          <t>Base</t>
        </is>
      </c>
      <c r="D8" s="5" t="inlineStr">
        <is>
          <t>Bull</t>
        </is>
      </c>
    </row>
    <row r="9">
      <c r="A9" s="5" t="inlineStr">
        <is>
          <t>Probability</t>
        </is>
      </c>
      <c r="B9" s="38" t="n">
        <v>0.25</v>
      </c>
      <c r="C9" s="38" t="n">
        <v>0.5</v>
      </c>
      <c r="D9" s="38" t="n">
        <v>0.25</v>
      </c>
      <c r="E9" s="35">
        <f>SUM(B9:D9)</f>
        <v/>
      </c>
      <c r="F9" s="12" t="inlineStr">
        <is>
          <t>must be 100%</t>
        </is>
      </c>
    </row>
    <row r="11">
      <c r="A11" s="5" t="inlineStr">
        <is>
          <t>Probability-weighted value, US$</t>
        </is>
      </c>
      <c r="E11" s="29">
        <f>B9*J5+C9*J6+D9*J7</f>
        <v/>
      </c>
      <c r="F11" s="30">
        <f>E11/Assumptions!$B$7-1</f>
        <v/>
      </c>
    </row>
    <row r="14">
      <c r="A14" s="12" t="inlineStr">
        <is>
          <t>Published: bear US$8.17 x 22 = ~US$180 (down 29%); base US$10.65 x 28 = ~US$298 (up 18%); bull US$11.52 x 34 = ~US$392 (up 54%);</t>
        </is>
      </c>
    </row>
    <row r="15">
      <c r="A15" s="12" t="inlineStr">
        <is>
          <t>weighted 25/50/25 on the unrounded cases (179.70 / 298.20 / 391.80) = about US$292, about 15% above the price.</t>
        </is>
      </c>
    </row>
    <row r="16">
      <c r="A16" s="12" t="inlineStr">
        <is>
          <t>Bear growth of 11% and bull growth of 23% are the midpoints of the</t>
        </is>
      </c>
    </row>
    <row r="17">
      <c r="A17" s="12" t="inlineStr">
        <is>
          <t>published ranges (10 to 12%, 22 to 24%); they reproduce the published EPS. All cases start from the 2026 guide midpoint of US$14.0bn</t>
        </is>
      </c>
    </row>
    <row r="18">
      <c r="A18" s="12" t="inlineStr">
        <is>
          <t>and use the same EPS-per-operating-profit ratio as the base case.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VALUE PER SHARE: 2028E EPS AGAINST MULTIPLE (US$)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2028 EPS \ multiple</t>
        </is>
      </c>
      <c r="B4" s="39" t="n">
        <v>24</v>
      </c>
      <c r="C4" s="39">
        <f>Assumptions!$B$36</f>
        <v/>
      </c>
      <c r="D4" s="39" t="n">
        <v>32</v>
      </c>
    </row>
    <row r="5">
      <c r="A5" s="40" t="n">
        <v>9.5</v>
      </c>
      <c r="B5" s="41">
        <f>$A5*B$4</f>
        <v/>
      </c>
      <c r="C5" s="41">
        <f>$A5*C$4</f>
        <v/>
      </c>
      <c r="D5" s="41">
        <f>$A5*D$4</f>
        <v/>
      </c>
    </row>
    <row r="6">
      <c r="A6" s="42">
        <f>Financials!F10</f>
        <v/>
      </c>
      <c r="B6" s="43">
        <f>$A6*B$4</f>
        <v/>
      </c>
      <c r="C6" s="44">
        <f>$A6*C$4</f>
        <v/>
      </c>
      <c r="D6" s="41">
        <f>$A6*D$4</f>
        <v/>
      </c>
    </row>
    <row r="7">
      <c r="A7" s="40" t="n">
        <v>11.5</v>
      </c>
      <c r="B7" s="41">
        <f>$A7*B$4</f>
        <v/>
      </c>
      <c r="C7" s="41">
        <f>$A7*C$4</f>
        <v/>
      </c>
      <c r="D7" s="41">
        <f>$A7*D$4</f>
        <v/>
      </c>
    </row>
    <row r="9">
      <c r="A9" s="5" t="inlineStr">
        <is>
          <t>Cells above the reference price</t>
        </is>
      </c>
      <c r="B9">
        <f>COUNTIF(B5:D7,"&gt;"&amp;Assumptions!$B$7)</f>
        <v/>
      </c>
      <c r="C9" t="inlineStr">
        <is>
          <t>of 9</t>
        </is>
      </c>
    </row>
    <row r="11">
      <c r="A11" s="12" t="inlineStr">
        <is>
          <t>Middle row links to the model's 2028E EPS and the middle column to the base multiple, so the grid moves with the assumptions.</t>
        </is>
      </c>
    </row>
    <row r="12">
      <c r="A12" s="12" t="inlineStr">
        <is>
          <t>Published grid: 228 / 266 / 304; 256 / 298 / 341; 276 / 322 / 368.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QUARTERLY HISTORY, Q1 2024 TO Q2 2026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US$ billion unless stated</t>
        </is>
      </c>
      <c r="B4" s="4" t="inlineStr">
        <is>
          <t>Q1 24</t>
        </is>
      </c>
      <c r="C4" s="4" t="inlineStr">
        <is>
          <t>Q2 24</t>
        </is>
      </c>
      <c r="D4" s="4" t="inlineStr">
        <is>
          <t>Q3 24</t>
        </is>
      </c>
      <c r="E4" s="4" t="inlineStr">
        <is>
          <t>Q4 24</t>
        </is>
      </c>
      <c r="F4" s="4" t="inlineStr">
        <is>
          <t>Q1 25</t>
        </is>
      </c>
      <c r="G4" s="4" t="inlineStr">
        <is>
          <t>Q2 25</t>
        </is>
      </c>
      <c r="H4" s="4" t="inlineStr">
        <is>
          <t>Q3 25</t>
        </is>
      </c>
      <c r="I4" s="4" t="inlineStr">
        <is>
          <t>Q4 25</t>
        </is>
      </c>
      <c r="J4" s="4" t="inlineStr">
        <is>
          <t>Q1 26</t>
        </is>
      </c>
      <c r="K4" s="4" t="inlineStr">
        <is>
          <t>Q2 26</t>
        </is>
      </c>
    </row>
    <row r="5">
      <c r="A5" s="5" t="inlineStr">
        <is>
          <t>Net sales</t>
        </is>
      </c>
      <c r="B5" s="45" t="n">
        <v>1.64</v>
      </c>
      <c r="C5" s="45" t="n">
        <v>1.95</v>
      </c>
      <c r="D5" s="45" t="n">
        <v>2.07</v>
      </c>
      <c r="E5" s="45" t="n">
        <v>2.35</v>
      </c>
      <c r="F5" s="45" t="n">
        <v>2.04</v>
      </c>
      <c r="G5" s="45" t="n">
        <v>2.64</v>
      </c>
      <c r="H5" s="45" t="n">
        <v>2.68</v>
      </c>
      <c r="I5" s="45" t="n">
        <v>2.88</v>
      </c>
      <c r="J5" s="45" t="n">
        <v>2.65</v>
      </c>
      <c r="K5" s="45" t="n">
        <v>3.27</v>
      </c>
    </row>
    <row r="6">
      <c r="A6" s="21" t="inlineStr">
        <is>
          <t>Reported sales growth y/y (derived)</t>
        </is>
      </c>
      <c r="B6" s="22" t="inlineStr"/>
      <c r="C6" s="22" t="inlineStr"/>
      <c r="D6" s="22" t="inlineStr"/>
      <c r="E6" s="22" t="inlineStr"/>
      <c r="F6" s="22">
        <f>F5/B5-1</f>
        <v/>
      </c>
      <c r="G6" s="22">
        <f>G5/C5-1</f>
        <v/>
      </c>
      <c r="H6" s="22">
        <f>H5/D5-1</f>
        <v/>
      </c>
      <c r="I6" s="22">
        <f>I5/E5-1</f>
        <v/>
      </c>
      <c r="J6" s="22">
        <f>J5/F5-1</f>
        <v/>
      </c>
      <c r="K6" s="22">
        <f>K5/G5-1</f>
        <v/>
      </c>
    </row>
    <row r="7">
      <c r="A7" s="5" t="inlineStr">
        <is>
          <t>Adjusted operating margin</t>
        </is>
      </c>
      <c r="B7" s="46" t="n">
        <v>0.152</v>
      </c>
      <c r="C7" s="46" t="n">
        <v>0.196</v>
      </c>
      <c r="D7" s="46" t="n">
        <v>0.201</v>
      </c>
      <c r="E7" s="46" t="n">
        <v>0.215</v>
      </c>
      <c r="F7" s="46" t="n">
        <v>0.165</v>
      </c>
      <c r="G7" s="46" t="n">
        <v>0.185</v>
      </c>
      <c r="H7" s="46" t="n">
        <v>0.223</v>
      </c>
      <c r="I7" s="46" t="n">
        <v>0.232</v>
      </c>
      <c r="J7" s="46" t="n">
        <v>0.208</v>
      </c>
      <c r="K7" s="46" t="n">
        <v>0.226</v>
      </c>
    </row>
    <row r="8">
      <c r="A8" s="21" t="inlineStr">
        <is>
          <t>Margin change y/y, points (derived)</t>
        </is>
      </c>
      <c r="B8" s="47" t="inlineStr"/>
      <c r="C8" s="47" t="inlineStr"/>
      <c r="D8" s="47" t="inlineStr"/>
      <c r="E8" s="47" t="inlineStr"/>
      <c r="F8" s="47">
        <f>(F7-B7)*100</f>
        <v/>
      </c>
      <c r="G8" s="47">
        <f>(G7-C7)*100</f>
        <v/>
      </c>
      <c r="H8" s="47">
        <f>(H7-D7)*100</f>
        <v/>
      </c>
      <c r="I8" s="47">
        <f>(I7-E7)*100</f>
        <v/>
      </c>
      <c r="J8" s="47">
        <f>(J7-F7)*100</f>
        <v/>
      </c>
      <c r="K8" s="47">
        <f>(K7-G7)*100</f>
        <v/>
      </c>
    </row>
    <row r="9">
      <c r="A9" s="21" t="inlineStr">
        <is>
          <t>Adjusted operating profit (derived, sales x margin)</t>
        </is>
      </c>
      <c r="B9" s="48">
        <f>B5*B7</f>
        <v/>
      </c>
      <c r="C9" s="48">
        <f>C5*C7</f>
        <v/>
      </c>
      <c r="D9" s="48">
        <f>D5*D7</f>
        <v/>
      </c>
      <c r="E9" s="48">
        <f>E5*E7</f>
        <v/>
      </c>
      <c r="F9" s="48">
        <f>F5*F7</f>
        <v/>
      </c>
      <c r="G9" s="48">
        <f>G5*G7</f>
        <v/>
      </c>
      <c r="H9" s="48">
        <f>H5*H7</f>
        <v/>
      </c>
      <c r="I9" s="48">
        <f>I5*I7</f>
        <v/>
      </c>
      <c r="J9" s="48">
        <f>J5*J7</f>
        <v/>
      </c>
      <c r="K9" s="48">
        <f>K5*K7</f>
        <v/>
      </c>
    </row>
    <row r="10">
      <c r="A10" s="21" t="inlineStr">
        <is>
          <t>Organic growth, products</t>
        </is>
      </c>
      <c r="B10" s="46" t="n">
        <v>0.077</v>
      </c>
      <c r="C10" s="46" t="n">
        <v>0.153</v>
      </c>
      <c r="D10" s="46" t="n">
        <v>0.199</v>
      </c>
      <c r="E10" s="46" t="n">
        <v>0.315</v>
      </c>
      <c r="F10" s="46" t="n">
        <v>0.311</v>
      </c>
      <c r="G10" s="46" t="n">
        <v>0.385</v>
      </c>
      <c r="H10" s="46" t="n">
        <v>0.336</v>
      </c>
      <c r="I10" s="46" t="n">
        <v>0.204</v>
      </c>
      <c r="J10" s="46" t="n">
        <v>0.249</v>
      </c>
      <c r="K10" s="46" t="n">
        <v>0.197</v>
      </c>
    </row>
    <row r="11">
      <c r="A11" s="21" t="inlineStr">
        <is>
          <t>Organic growth, service and spares</t>
        </is>
      </c>
      <c r="B11" s="46" t="n">
        <v>0.094</v>
      </c>
      <c r="C11" s="46" t="n">
        <v>0.08500000000000001</v>
      </c>
      <c r="D11" s="46" t="n">
        <v>0.169</v>
      </c>
      <c r="E11" s="46" t="n">
        <v>0.121</v>
      </c>
      <c r="F11" s="46" t="n">
        <v>0.07400000000000001</v>
      </c>
      <c r="G11" s="46" t="n">
        <v>0.186</v>
      </c>
      <c r="H11" s="46" t="n">
        <v>0.101</v>
      </c>
      <c r="I11" s="46" t="n">
        <v>0.149</v>
      </c>
      <c r="J11" s="46" t="n">
        <v>0.137</v>
      </c>
      <c r="K11" s="46" t="n">
        <v>0.101</v>
      </c>
    </row>
    <row r="12">
      <c r="A12" s="21" t="inlineStr">
        <is>
          <t>Service minus products, points (derived)</t>
        </is>
      </c>
      <c r="B12" s="47">
        <f>(B11-B10)*100</f>
        <v/>
      </c>
      <c r="C12" s="47">
        <f>(C11-C10)*100</f>
        <v/>
      </c>
      <c r="D12" s="47">
        <f>(D11-D10)*100</f>
        <v/>
      </c>
      <c r="E12" s="47">
        <f>(E11-E10)*100</f>
        <v/>
      </c>
      <c r="F12" s="47">
        <f>(F11-F10)*100</f>
        <v/>
      </c>
      <c r="G12" s="47">
        <f>(G11-G10)*100</f>
        <v/>
      </c>
      <c r="H12" s="47">
        <f>(H11-H10)*100</f>
        <v/>
      </c>
      <c r="I12" s="47">
        <f>(I11-I10)*100</f>
        <v/>
      </c>
      <c r="J12" s="47">
        <f>(J11-J10)*100</f>
        <v/>
      </c>
      <c r="K12" s="47">
        <f>(K11-K10)*100</f>
        <v/>
      </c>
    </row>
    <row r="13">
      <c r="A13" s="21" t="inlineStr">
        <is>
          <t>Service grew faster than products? (derived)</t>
        </is>
      </c>
      <c r="B13" s="49">
        <f>IF(B11&gt;B10,"Yes","No")</f>
        <v/>
      </c>
      <c r="C13" s="49">
        <f>IF(C11&gt;C10,"Yes","No")</f>
        <v/>
      </c>
      <c r="D13" s="49">
        <f>IF(D11&gt;D10,"Yes","No")</f>
        <v/>
      </c>
      <c r="E13" s="49">
        <f>IF(E11&gt;E10,"Yes","No")</f>
        <v/>
      </c>
      <c r="F13" s="49">
        <f>IF(F11&gt;F10,"Yes","No")</f>
        <v/>
      </c>
      <c r="G13" s="49">
        <f>IF(G11&gt;G10,"Yes","No")</f>
        <v/>
      </c>
      <c r="H13" s="49">
        <f>IF(H11&gt;H10,"Yes","No")</f>
        <v/>
      </c>
      <c r="I13" s="49">
        <f>IF(I11&gt;I10,"Yes","No")</f>
        <v/>
      </c>
      <c r="J13" s="49">
        <f>IF(J11&gt;J10,"Yes","No")</f>
        <v/>
      </c>
      <c r="K13" s="49">
        <f>IF(K11&gt;K10,"Yes","No")</f>
        <v/>
      </c>
    </row>
    <row r="15">
      <c r="A15" s="11" t="inlineStr">
        <is>
          <t>Annual checks</t>
        </is>
      </c>
    </row>
    <row r="16">
      <c r="A16" t="inlineStr">
        <is>
          <t>Sum of quarterly sales, 2024 / 2025</t>
        </is>
      </c>
      <c r="B16" s="32">
        <f>SUM(B5:E5)</f>
        <v/>
      </c>
      <c r="C16" s="32">
        <f>SUM(F5:I5)</f>
        <v/>
      </c>
      <c r="D16" s="12" t="inlineStr">
        <is>
          <t>Annual inputs 8.01 / 10.23; 2025 differs by rounding of quarters.</t>
        </is>
      </c>
    </row>
    <row r="17">
      <c r="A17" t="inlineStr">
        <is>
          <t>Quarters since Q3 25 beating prior year margin</t>
        </is>
      </c>
      <c r="B17">
        <f>COUNTIF(H8:K8,"&gt;0")</f>
        <v/>
      </c>
      <c r="C17" t="inlineStr">
        <is>
          <t>of 4</t>
        </is>
      </c>
    </row>
    <row r="18">
      <c r="A18" t="inlineStr">
        <is>
          <t>Quarters where service grew more slowly than products</t>
        </is>
      </c>
      <c r="B18">
        <f>COUNTIF(B13:K13,"No")</f>
        <v/>
      </c>
      <c r="C18" t="inlineStr">
        <is>
          <t>of 10</t>
        </is>
      </c>
    </row>
    <row r="20">
      <c r="A20" s="11" t="inlineStr">
        <is>
          <t>Adjusted EPS, orders and backlog</t>
        </is>
      </c>
    </row>
    <row r="21">
      <c r="A21" s="3" t="inlineStr">
        <is>
          <t>Item</t>
        </is>
      </c>
      <c r="B21" s="4" t="inlineStr">
        <is>
          <t>Value</t>
        </is>
      </c>
      <c r="C21" s="4" t="inlineStr">
        <is>
          <t>Note</t>
        </is>
      </c>
    </row>
    <row r="22">
      <c r="A22" t="inlineStr">
        <is>
          <t>Adjusted EPS, 2024 (sum of quarters)</t>
        </is>
      </c>
      <c r="B22" s="8">
        <f>Assumptions!$B$20</f>
        <v/>
      </c>
      <c r="C22" s="12" t="inlineStr">
        <is>
          <t>Quarterly adjusted EPS is not compiled in the source pitch; annual figures only.</t>
        </is>
      </c>
    </row>
    <row r="23">
      <c r="A23" t="inlineStr">
        <is>
          <t>Adjusted EPS, 2025 (sum of quarters)</t>
        </is>
      </c>
      <c r="B23" s="8">
        <f>Assumptions!$B$21</f>
        <v/>
      </c>
      <c r="C23" s="12" t="inlineStr"/>
    </row>
    <row r="24">
      <c r="A24" t="inlineStr">
        <is>
          <t>Organic orders growth, Q4 2025</t>
        </is>
      </c>
      <c r="B24" s="50" t="n">
        <v>2.52</v>
      </c>
      <c r="C24" s="12" t="inlineStr">
        <is>
          <t>About 252%. Q4 2025 results release, 11 February 2026.</t>
        </is>
      </c>
    </row>
    <row r="25">
      <c r="A25" t="inlineStr">
        <is>
          <t>Book-to-bill, Q4 2025</t>
        </is>
      </c>
      <c r="B25" s="51" t="n">
        <v>2.9</v>
      </c>
      <c r="C25" s="12" t="inlineStr">
        <is>
          <t>About 2.9. Q4 2025 results release, cited in the journal piece of 25 September 2026.</t>
        </is>
      </c>
    </row>
    <row r="26">
      <c r="A26" t="inlineStr">
        <is>
          <t>Backlog, 31 December 2025, US$bn</t>
        </is>
      </c>
      <c r="B26" s="45" t="n">
        <v>15</v>
      </c>
      <c r="C26" s="12" t="inlineStr">
        <is>
          <t>Up 109% on a year earlier. The 2026 Form 10-K (due February 2027) gives the next figure.</t>
        </is>
      </c>
    </row>
    <row r="27">
      <c r="A27" t="inlineStr">
        <is>
          <t>Backlog growth y/y, 2025</t>
        </is>
      </c>
      <c r="B27" s="50" t="n">
        <v>1.09</v>
      </c>
      <c r="C27" s="12" t="inlineStr"/>
    </row>
    <row r="28">
      <c r="A28" t="inlineStr">
        <is>
          <t>Orders and backlog, Q1 2026 onwards</t>
        </is>
      </c>
      <c r="B28" s="10" t="inlineStr">
        <is>
          <t>n.d.</t>
        </is>
      </c>
      <c r="C28" s="12" t="inlineStr">
        <is>
          <t>Quarterly disclosure ended; announced on the Q4 2025 call, 11 February 2026. Backlog now annual only.</t>
        </is>
      </c>
    </row>
    <row r="29">
      <c r="A29" t="inlineStr">
        <is>
          <t>Earlier quarterly orders and book-to-bill</t>
        </is>
      </c>
      <c r="B29" s="10" t="inlineStr">
        <is>
          <t>n.c.</t>
        </is>
      </c>
      <c r="C29" s="12" t="inlineStr">
        <is>
          <t>Not compiled in the source pitch; not reproduced here.</t>
        </is>
      </c>
    </row>
    <row r="30">
      <c r="A30" t="inlineStr">
        <is>
          <t>EMEA organic growth, Q2 2026</t>
        </is>
      </c>
      <c r="B30" s="46" t="n">
        <v>-0.024</v>
      </c>
      <c r="C30" s="12" t="inlineStr">
        <is>
          <t>Vertiv Form 10-Q / Q2 2026 release. A weak spot in the evidence.</t>
        </is>
      </c>
    </row>
    <row r="32">
      <c r="A32" s="12" t="inlineStr">
        <is>
          <t>Source: Vertiv quarterly results releases on Form 8-K, Exhibit 99.1, 24 April 2024 to 29 July 2026, including the organic growth reconciliation tables.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PEER MULTIPLES (FORWARD P/E, stockanalysis.com, 6 OCTOBER 2026)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Forward P/E</t>
        </is>
      </c>
      <c r="D4" s="4" t="inlineStr">
        <is>
          <t>What they make</t>
        </is>
      </c>
    </row>
    <row r="5">
      <c r="A5" s="5" t="inlineStr">
        <is>
          <t>Vertiv</t>
        </is>
      </c>
      <c r="B5" t="inlineStr">
        <is>
          <t>NYSE: VRT</t>
        </is>
      </c>
      <c r="C5" s="52">
        <f>Assumptions!$B$14</f>
        <v/>
      </c>
      <c r="D5" s="7" t="inlineStr">
        <is>
          <t>Power, thermal and liquid cooling equipment and service for data centres; pure play</t>
        </is>
      </c>
    </row>
    <row r="6">
      <c r="A6" s="21" t="inlineStr">
        <is>
          <t>Eaton</t>
        </is>
      </c>
      <c r="B6" t="inlineStr">
        <is>
          <t>NYSE: ETN</t>
        </is>
      </c>
      <c r="C6" s="15" t="n">
        <v>28.75</v>
      </c>
      <c r="D6" s="7" t="inlineStr">
        <is>
          <t>Electrical equipment; data centre exposure is one division among several</t>
        </is>
      </c>
    </row>
    <row r="7">
      <c r="A7" s="21" t="inlineStr">
        <is>
          <t>nVent</t>
        </is>
      </c>
      <c r="B7" t="inlineStr">
        <is>
          <t>NYSE: NVT</t>
        </is>
      </c>
      <c r="C7" s="15" t="n">
        <v>28.75</v>
      </c>
      <c r="D7" s="7" t="inlineStr">
        <is>
          <t>Enclosures, electrical connections and liquid cooling</t>
        </is>
      </c>
    </row>
    <row r="8">
      <c r="A8" s="21" t="inlineStr">
        <is>
          <t>Trane Technologies</t>
        </is>
      </c>
      <c r="B8" t="inlineStr">
        <is>
          <t>NYSE: TT</t>
        </is>
      </c>
      <c r="C8" s="15" t="n">
        <v>28.75</v>
      </c>
      <c r="D8" s="7" t="inlineStr">
        <is>
          <t>HVAC and chillers; data centre cooling within a wider building business</t>
        </is>
      </c>
    </row>
    <row r="9">
      <c r="A9" s="21" t="inlineStr">
        <is>
          <t>Schneider Electric</t>
        </is>
      </c>
      <c r="B9" t="inlineStr">
        <is>
          <t>EPA: SU</t>
        </is>
      </c>
      <c r="C9" s="15" t="n">
        <v>24</v>
      </c>
      <c r="D9" s="7" t="inlineStr">
        <is>
          <t>Electrical distribution, automation, cooling via Motivair</t>
        </is>
      </c>
    </row>
    <row r="11">
      <c r="A11" t="inlineStr">
        <is>
          <t>Vertiv on the 2026 guide midpoint</t>
        </is>
      </c>
      <c r="C11" s="34">
        <f>Valuation!B18</f>
        <v/>
      </c>
    </row>
    <row r="12">
      <c r="A12" t="inlineStr">
        <is>
          <t>Vertiv on my 2028E (base multiple)</t>
        </is>
      </c>
      <c r="C12" s="34">
        <f>Valuation!B6</f>
        <v/>
      </c>
    </row>
    <row r="14">
      <c r="A14" s="12" t="inlineStr">
        <is>
          <t>Eaton, nVent and Trane are published as 'about 28.5 to 29x'; the 28.75x midpoint is used here for arithmetic only.</t>
        </is>
      </c>
    </row>
    <row r="15">
      <c r="A15" s="12" t="inlineStr">
        <is>
          <t>Multiples only, to set the base multiple. No view on the peers' shares is expressed.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SOURCES</t>
        </is>
      </c>
    </row>
    <row r="2">
      <c r="A2" s="2" t="inlineStr">
        <is>
          <t>Tommy Lau | Vertiv (NYSE: VRT) | 6 October 2026 | Personal research, not investment advice.</t>
        </is>
      </c>
    </row>
    <row r="4">
      <c r="A4" s="3" t="inlineStr">
        <is>
          <t>No.</t>
        </is>
      </c>
      <c r="B4" s="4" t="inlineStr">
        <is>
          <t>Source and what it supports</t>
        </is>
      </c>
    </row>
    <row r="5">
      <c r="A5" t="n">
        <v>1</v>
      </c>
      <c r="B5" s="7" t="inlineStr">
        <is>
          <t>Vertiv quarterly results releases on Form 8-K, Exhibit 99.1, 24 April 2024 to 29 July 2026: sales, organic growth by products and service, adjusted operating profit and margin, adjusted EPS, orders and backlog.</t>
        </is>
      </c>
    </row>
    <row r="6">
      <c r="A6" t="n">
        <v>2</v>
      </c>
      <c r="B6" s="7" t="inlineStr">
        <is>
          <t>Vertiv Form 10-Q for the quarter to 30 June 2026, filed 29 July 2026: cash, short-term investments, debt, diluted share count, regional sales.</t>
        </is>
      </c>
    </row>
    <row r="7">
      <c r="A7" t="n">
        <v>3</v>
      </c>
      <c r="B7" s="7" t="inlineStr">
        <is>
          <t>Vertiv 2025 Form 10-K, filed 13 February 2026.</t>
        </is>
      </c>
    </row>
    <row r="8">
      <c r="A8" t="n">
        <v>4</v>
      </c>
      <c r="B8" s="7" t="inlineStr">
        <is>
          <t>Vertiv 2026 Investor Conference presentation, 19 May 2026: 2030 targets (adjusted operating margin of about 27% or more; 20 to 22% organic growth a year).</t>
        </is>
      </c>
    </row>
    <row r="9">
      <c r="A9" t="n">
        <v>5</v>
      </c>
      <c r="B9" s="7" t="inlineStr">
        <is>
          <t>Vertiv Form 8-K of 2 September 2026: agreement to buy UtilityInnovation Group for about US$1.45bn in cash plus up to US$1.15bn of earn-out.</t>
        </is>
      </c>
    </row>
    <row r="10">
      <c r="A10" t="n">
        <v>6</v>
      </c>
      <c r="B10" s="7" t="inlineStr">
        <is>
          <t>Vertiv fourth quarter 2025 earnings call, 11 February 2026: end of quarterly orders and backlog disclosure.</t>
        </is>
      </c>
    </row>
    <row r="11">
      <c r="A11" t="n">
        <v>7</v>
      </c>
      <c r="B11" s="7" t="inlineStr">
        <is>
          <t>MarketBeat, retrieved 6 October 2026: 2027 consensus adjusted EPS of US$8.93.</t>
        </is>
      </c>
    </row>
    <row r="12">
      <c r="A12" t="n">
        <v>8</v>
      </c>
      <c r="B12" s="7" t="inlineStr">
        <is>
          <t>stockanalysis.com, retrieved 6 October 2026: forward P/E for Vertiv, Eaton, nVent, Trane Technologies and Schneider Electric.</t>
        </is>
      </c>
    </row>
    <row r="13">
      <c r="A13" t="n">
        <v>9</v>
      </c>
      <c r="B13" s="7" t="inlineStr">
        <is>
          <t>Yahoo Finance, retrieved 6 October 2026: month-end closes, the 5 October 2026 close and the 14 May 2026 intraday peak.</t>
        </is>
      </c>
    </row>
    <row r="14">
      <c r="A14" t="n">
        <v>10</v>
      </c>
      <c r="B14" s="7" t="inlineStr">
        <is>
          <t>The Physical Layer, 'Vertiv is paid per megawatt, and AI has made every megawatt harder to build', 25 September 2026: https://thephysicallayer.fyi/journal/every-megawatt-got-harder/</t>
        </is>
      </c>
    </row>
    <row r="15">
      <c r="A15" t="n">
        <v>11</v>
      </c>
      <c r="B15" s="7" t="inlineStr">
        <is>
          <t>The published pitch and call, 6 October 2026: https://thephysicallayer.fyi/research/</t>
        </is>
      </c>
    </row>
    <row r="16">
      <c r="A16" t="n">
        <v>12</v>
      </c>
      <c r="B16" s="7" t="inlineStr">
        <is>
          <t>Estimates for 2027 and 2028 are the author's own. Personal research,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2026-10-06T11:52:40Z</dcterms:created>
  <dcterms:modified xmlns:dcterms="http://purl.org/dc/terms/" xmlns:xsi="http://www.w3.org/2001/XMLSchema-instance" xsi:type="dcterms:W3CDTF">2026-10-06T11:52:40Z</dcterms:modified>
</cp:coreProperties>
</file>