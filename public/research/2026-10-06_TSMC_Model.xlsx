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Peer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x&quot;"/>
    <numFmt numFmtId="165" formatCode="#,##0.000"/>
    <numFmt numFmtId="166" formatCode="0.0%"/>
    <numFmt numFmtId="167" formatCode="&quot;US$&quot;#,##0.00"/>
    <numFmt numFmtId="168" formatCode="+0.0;-0.0"/>
    <numFmt numFmtId="169" formatCode="0.0&quot;x&quot;"/>
    <numFmt numFmtId="170" formatCode="#,##0.0"/>
    <numFmt numFmtId="171" formatCode="&quot;US$&quot;#,##0"/>
  </numFmts>
  <fonts count="12">
    <font>
      <name val="Calibri"/>
      <family val="2"/>
      <color theme="1"/>
      <sz val="11"/>
      <scheme val="minor"/>
    </font>
    <font>
      <b val="1"/>
      <color rgb="001F3864"/>
      <sz val="12"/>
    </font>
    <font>
      <color rgb="00595959"/>
      <sz val="9"/>
    </font>
    <font>
      <i val="1"/>
      <color rgb="00595959"/>
      <sz val="9"/>
    </font>
    <font>
      <b val="1"/>
      <color rgb="00FFFFFF"/>
      <sz val="10"/>
    </font>
    <font>
      <b val="1"/>
      <color rgb="001F3864"/>
    </font>
    <font>
      <color rgb="000000FF"/>
    </font>
    <font>
      <b val="1"/>
      <color rgb="000000FF"/>
    </font>
    <font>
      <b val="1"/>
    </font>
    <font>
      <color rgb="00008000"/>
    </font>
    <font/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pivotButton="0" quotePrefix="0" xfId="0"/>
    <xf numFmtId="4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7" fillId="3" borderId="0" pivotButton="0" quotePrefix="0" xfId="0"/>
    <xf numFmtId="4" fontId="7" fillId="3" borderId="0" pivotButton="0" quotePrefix="0" xfId="0"/>
    <xf numFmtId="164" fontId="7" fillId="3" borderId="0" pivotButton="0" quotePrefix="0" xfId="0"/>
    <xf numFmtId="4" fontId="6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right"/>
    </xf>
    <xf numFmtId="0" fontId="10" fillId="0" borderId="0" pivotButton="0" quotePrefix="0" xfId="0"/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9" fontId="6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3" fontId="6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167" fontId="0" fillId="0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64" fontId="0" fillId="0" borderId="0" pivotButton="0" quotePrefix="0" xfId="0"/>
    <xf numFmtId="167" fontId="8" fillId="4" borderId="0" pivotButton="0" quotePrefix="0" xfId="0"/>
    <xf numFmtId="0" fontId="8" fillId="4" borderId="0" pivotButton="0" quotePrefix="0" xfId="0"/>
    <xf numFmtId="170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9" fontId="0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9" fontId="7" fillId="3" borderId="0" pivotButton="0" quotePrefix="0" xfId="0"/>
    <xf numFmtId="164" fontId="11" fillId="2" borderId="0" applyAlignment="1" pivotButton="0" quotePrefix="0" xfId="0">
      <alignment horizontal="right"/>
    </xf>
    <xf numFmtId="167" fontId="6" fillId="0" borderId="0" pivotButton="0" quotePrefix="0" xfId="0"/>
    <xf numFmtId="171" fontId="0" fillId="0" borderId="0" pivotButton="0" quotePrefix="0" xfId="0"/>
    <xf numFmtId="167" fontId="9" fillId="0" borderId="0" pivotButton="0" quotePrefix="0" xfId="0"/>
    <xf numFmtId="171" fontId="0" fillId="4" borderId="0" pivotButton="0" quotePrefix="0" xfId="0"/>
    <xf numFmtId="169" fontId="9" fillId="0" borderId="0" pivotButton="0" quotePrefix="0" xfId="0"/>
    <xf numFmtId="16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80" customWidth="1" min="3" max="3"/>
  </cols>
  <sheetData>
    <row r="1">
      <c r="A1" s="1" t="inlineStr">
        <is>
          <t>TSMC (NYSE: TSM ADR; TWSE: 2330)  INITIATION MODEL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>
        <is>
          <t>Item</t>
        </is>
      </c>
      <c r="B4" s="4" t="inlineStr">
        <is>
          <t>Value</t>
        </is>
      </c>
      <c r="C4" s="4" t="inlineStr">
        <is>
          <t>Note</t>
        </is>
      </c>
    </row>
    <row r="5">
      <c r="A5" s="5" t="inlineStr">
        <is>
          <t>Call</t>
        </is>
      </c>
      <c r="B5" s="6">
        <f>Valuation!$B$11</f>
        <v/>
      </c>
      <c r="C5" s="7" t="inlineStr">
        <is>
          <t>Tommy Lau's call, published 6 Oct 2026.</t>
        </is>
      </c>
    </row>
    <row r="6">
      <c r="A6" s="5" t="inlineStr">
        <is>
          <t>Conviction</t>
        </is>
      </c>
      <c r="B6" s="8" t="inlineStr">
        <is>
          <t>Medium</t>
        </is>
      </c>
      <c r="C6" s="7" t="inlineStr">
        <is>
          <t>Judgement, not formula.</t>
        </is>
      </c>
    </row>
    <row r="7">
      <c r="A7" s="5" t="inlineStr">
        <is>
          <t>Reference price, US$ per ADR</t>
        </is>
      </c>
      <c r="B7" s="9">
        <f>Assumptions!$B$7</f>
        <v/>
      </c>
      <c r="C7" s="7" t="inlineStr">
        <is>
          <t>NYSE close, 5 October 2026. 1 ADR = 5 ordinary shares.</t>
        </is>
      </c>
    </row>
    <row r="8">
      <c r="A8" s="5" t="inlineStr">
        <is>
          <t>Base value, US$ per ADR</t>
        </is>
      </c>
      <c r="B8" s="9">
        <f>Valuation!$B$7</f>
        <v/>
      </c>
      <c r="C8" s="7" t="inlineStr">
        <is>
          <t>20x 2028E EPS.</t>
        </is>
      </c>
    </row>
    <row r="9">
      <c r="A9" s="5" t="inlineStr">
        <is>
          <t>Base value against the price</t>
        </is>
      </c>
      <c r="B9" s="10">
        <f>Valuation!$B$9</f>
        <v/>
      </c>
      <c r="C9" s="7" t="inlineStr"/>
    </row>
    <row r="10">
      <c r="A10" s="5" t="inlineStr">
        <is>
          <t>Probability-weighted value, US$</t>
        </is>
      </c>
      <c r="B10" s="9">
        <f>Valuation!$B$10</f>
        <v/>
      </c>
      <c r="C10" s="7" t="inlineStr">
        <is>
          <t>25 / 50 / 25 bear / base / bull.</t>
        </is>
      </c>
    </row>
    <row r="11">
      <c r="A11" s="5" t="inlineStr">
        <is>
          <t>2026E / 2027E / 2028E EPS per ADR, US$</t>
        </is>
      </c>
      <c r="B11" s="6">
        <f>TEXT(Financials!D12,"0.00")&amp;" / "&amp;TEXT(Financials!E12,"0.00")&amp;" / "&amp;TEXT(Financials!F12,"0.00")</f>
        <v/>
      </c>
      <c r="C11" s="7" t="inlineStr">
        <is>
          <t>Own estimates.</t>
        </is>
      </c>
    </row>
    <row r="12">
      <c r="A12" s="5" t="inlineStr">
        <is>
          <t>Horizon</t>
        </is>
      </c>
      <c r="B12" s="8" t="inlineStr">
        <is>
          <t>12 months, to October 2027</t>
        </is>
      </c>
      <c r="C12" s="7" t="inlineStr"/>
    </row>
    <row r="13">
      <c r="A13" s="5" t="inlineStr">
        <is>
          <t>Wrong if</t>
        </is>
      </c>
      <c r="B13" s="8" t="inlineStr">
        <is>
          <t>See note</t>
        </is>
      </c>
      <c r="C13" s="7" t="inlineStr">
        <is>
          <t>Full year 2027 revenue grows 30% or more in US dollars with an operating margin of 58% or more; or TSMC raises its through-the-cycle gross margin floor above 56%; or the ADR trades above US$560 by October 2027 without either.</t>
        </is>
      </c>
    </row>
    <row r="14">
      <c r="A14" s="5" t="inlineStr">
        <is>
          <t>Revisit if</t>
        </is>
      </c>
      <c r="B14" s="8" t="inlineStr">
        <is>
          <t>See note</t>
        </is>
      </c>
      <c r="C14" s="7" t="inlineStr">
        <is>
          <t>A price below about US$400, or Q3 gross margin at or above the 67% top of the guide despite the 2nm ramp, or a raised margin floor.</t>
        </is>
      </c>
    </row>
    <row r="17">
      <c r="A17" s="11" t="inlineStr">
        <is>
          <t>Tabs</t>
        </is>
      </c>
    </row>
    <row r="18">
      <c r="A18" t="inlineStr">
        <is>
          <t>Assumptions</t>
        </is>
      </c>
      <c r="B18" t="inlineStr">
        <is>
          <t>Every input, with its source. Change the yellow cells to move the value.</t>
        </is>
      </c>
    </row>
    <row r="19">
      <c r="A19" t="inlineStr">
        <is>
          <t>Quarterly</t>
        </is>
      </c>
      <c r="B19" t="inlineStr">
        <is>
          <t>Q1 2024 to Q2 2026 reported, my Q3 and Q4 2026; wafers, revenue per wafer, non-operating items, capex.</t>
        </is>
      </c>
    </row>
    <row r="20">
      <c r="A20" t="inlineStr">
        <is>
          <t>Monthly</t>
        </is>
      </c>
      <c r="B20" t="inlineStr">
        <is>
          <t>Monthly revenue January 2025 to August 2026 and the Q3 2026 track against the guide.</t>
        </is>
      </c>
    </row>
    <row r="21">
      <c r="A21" t="inlineStr">
        <is>
          <t>Financials</t>
        </is>
      </c>
      <c r="B21" t="inlineStr">
        <is>
          <t>2024A to 2028E: revenue, margin, the EPS bridge per ADR, P/E.</t>
        </is>
      </c>
    </row>
    <row r="22">
      <c r="A22" t="inlineStr">
        <is>
          <t>Valuation</t>
        </is>
      </c>
      <c r="B22" t="inlineStr">
        <is>
          <t>Base value, market value, ADR premium, multiples, what the price needs.</t>
        </is>
      </c>
    </row>
    <row r="23">
      <c r="A23" t="inlineStr">
        <is>
          <t>Scenarios</t>
        </is>
      </c>
      <c r="B23" t="inlineStr">
        <is>
          <t>Bear / base / bull and the probability-weighted value.</t>
        </is>
      </c>
    </row>
    <row r="24">
      <c r="A24" t="inlineStr">
        <is>
          <t>Sensitivity</t>
        </is>
      </c>
      <c r="B24" t="inlineStr">
        <is>
          <t>2028E EPS against multiple.</t>
        </is>
      </c>
    </row>
    <row r="25">
      <c r="A25" t="inlineStr">
        <is>
          <t>Peers</t>
        </is>
      </c>
      <c r="B25" t="inlineStr">
        <is>
          <t>Forward multiples used to set the base multiple.</t>
        </is>
      </c>
    </row>
    <row r="26">
      <c r="A26" t="inlineStr">
        <is>
          <t>Sources</t>
        </is>
      </c>
      <c r="B26" t="inlineStr">
        <is>
          <t>Every source used.</t>
        </is>
      </c>
    </row>
    <row r="28">
      <c r="A28" s="12" t="inlineStr">
        <is>
          <t>Colour key: blue = hardcoded input; yellow fill = my own assumption; green = link to another tab; black = formula.</t>
        </is>
      </c>
    </row>
    <row r="29">
      <c r="A29" s="12" t="inlineStr">
        <is>
          <t>Companion note: 2026-10-06_TSMC_Initiation.pdf. Personal research,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92" customWidth="1" min="4" max="4"/>
  </cols>
  <sheetData>
    <row r="1">
      <c r="A1" s="1" t="inlineStr">
        <is>
          <t>ASSUMPTIONS AND INPUTS</t>
        </is>
      </c>
    </row>
    <row r="2">
      <c r="A2" s="2" t="inlineStr">
        <is>
          <t>Tommy Lau | TSMC (NYSE: TSM; TWSE: 2330) | 6 October 2026 | Personal research, not investment advice.</t>
        </is>
      </c>
    </row>
    <row r="3">
      <c r="A3" s="12" t="inlineStr">
        <is>
          <t>Blue = hardcoded input. Yellow fill = my own assumption (change these to move the value). Green = link to another tab. Black = formula. US$ billion unless stated; per-ADR figures in US$.</t>
        </is>
      </c>
    </row>
    <row r="5">
      <c r="A5" s="3" t="inlineStr">
        <is>
          <t>Input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</t>
        </is>
      </c>
    </row>
    <row r="6">
      <c r="A6" s="11" t="inlineStr">
        <is>
          <t>MARKET (retrieved 6 October 2026)</t>
        </is>
      </c>
    </row>
    <row r="7">
      <c r="A7" t="inlineStr">
        <is>
          <t>ADR price (NYSE: TSM)</t>
        </is>
      </c>
      <c r="B7" s="13" t="n">
        <v>485.8</v>
      </c>
      <c r="C7" t="inlineStr">
        <is>
          <t>US$</t>
        </is>
      </c>
      <c r="D7" s="7" t="inlineStr">
        <is>
          <t>NYSE close, 5 October 2026. Yahoo Finance.</t>
        </is>
      </c>
    </row>
    <row r="8">
      <c r="A8" t="inlineStr">
        <is>
          <t>ADR 52-week high (intraday)</t>
        </is>
      </c>
      <c r="B8" s="13" t="n">
        <v>487.47</v>
      </c>
      <c r="C8" t="inlineStr">
        <is>
          <t>US$</t>
        </is>
      </c>
      <c r="D8" s="7" t="inlineStr">
        <is>
          <t>Yahoo Finance.</t>
        </is>
      </c>
    </row>
    <row r="9">
      <c r="A9" t="inlineStr">
        <is>
          <t>ADR month-end close, 30 Sep 2025</t>
        </is>
      </c>
      <c r="B9" s="13" t="n">
        <v>279.29</v>
      </c>
      <c r="C9" t="inlineStr">
        <is>
          <t>US$</t>
        </is>
      </c>
      <c r="D9" s="7" t="inlineStr">
        <is>
          <t>Yahoo Finance.</t>
        </is>
      </c>
    </row>
    <row r="10">
      <c r="A10" t="inlineStr">
        <is>
          <t>Taipei share price (2330.TW)</t>
        </is>
      </c>
      <c r="B10" s="13" t="n">
        <v>2585</v>
      </c>
      <c r="C10" t="inlineStr">
        <is>
          <t>NT$</t>
        </is>
      </c>
      <c r="D10" s="7" t="inlineStr">
        <is>
          <t>TWSE close, 6 October 2026. Yahoo Finance.</t>
        </is>
      </c>
    </row>
    <row r="11">
      <c r="A11" t="inlineStr">
        <is>
          <t>NT$ per US$</t>
        </is>
      </c>
      <c r="B11" s="13" t="n">
        <v>31.746</v>
      </c>
      <c r="C11" t="inlineStr">
        <is>
          <t>NT$</t>
        </is>
      </c>
      <c r="D11" s="7" t="inlineStr">
        <is>
          <t>Yahoo Finance TWD=X, 6 October 2026.</t>
        </is>
      </c>
    </row>
    <row r="12">
      <c r="A12" t="inlineStr">
        <is>
          <t>Ordinary shares per ADR</t>
        </is>
      </c>
      <c r="B12" s="14" t="n">
        <v>5</v>
      </c>
      <c r="C12" t="inlineStr">
        <is>
          <t>x</t>
        </is>
      </c>
      <c r="D12" s="7" t="inlineStr">
        <is>
          <t>TSMC ADR ratio.</t>
        </is>
      </c>
    </row>
    <row r="13">
      <c r="A13" t="inlineStr">
        <is>
          <t>Ordinary shares outstanding</t>
        </is>
      </c>
      <c r="B13" s="15" t="n">
        <v>25.932</v>
      </c>
      <c r="C13" t="inlineStr">
        <is>
          <t>bn</t>
        </is>
      </c>
      <c r="D13" s="7" t="inlineStr">
        <is>
          <t>2Q26 presentation: 25,932mn units at 30 June 2026.</t>
        </is>
      </c>
    </row>
    <row r="14">
      <c r="A14" t="inlineStr">
        <is>
          <t>Cash and marketable securities, 30 Jun 2026</t>
        </is>
      </c>
      <c r="B14" s="13" t="n">
        <v>3518.01</v>
      </c>
      <c r="C14" t="inlineStr">
        <is>
          <t>NT$bn</t>
        </is>
      </c>
      <c r="D14" s="7" t="inlineStr">
        <is>
          <t>2Q26 presentation, balance sheet.</t>
        </is>
      </c>
    </row>
    <row r="15">
      <c r="A15" t="inlineStr">
        <is>
          <t>Long-term interest-bearing debts, 30 Jun 2026</t>
        </is>
      </c>
      <c r="B15" s="13" t="n">
        <v>864.27</v>
      </c>
      <c r="C15" t="inlineStr">
        <is>
          <t>NT$bn</t>
        </is>
      </c>
      <c r="D15" s="7" t="inlineStr">
        <is>
          <t>2Q26 presentation. Current portion not separately shown, so net cash is approximate.</t>
        </is>
      </c>
    </row>
    <row r="16">
      <c r="A16" t="inlineStr">
        <is>
          <t>2026 consensus EPS per ADR</t>
        </is>
      </c>
      <c r="B16" s="13" t="n">
        <v>16.56</v>
      </c>
      <c r="C16" t="inlineStr">
        <is>
          <t>US$</t>
        </is>
      </c>
      <c r="D16" s="7" t="inlineStr">
        <is>
          <t>MarketBeat, retrieved 6 October 2026. Cross-check only.</t>
        </is>
      </c>
    </row>
    <row r="17">
      <c r="A17" t="inlineStr">
        <is>
          <t>2027 consensus EPS per ADR</t>
        </is>
      </c>
      <c r="B17" s="13" t="n">
        <v>21.33</v>
      </c>
      <c r="C17" t="inlineStr">
        <is>
          <t>US$</t>
        </is>
      </c>
      <c r="D17" s="7" t="inlineStr">
        <is>
          <t>MarketBeat, retrieved 6 October 2026. Cross-check only.</t>
        </is>
      </c>
    </row>
    <row r="18">
      <c r="A18" t="inlineStr">
        <is>
          <t>Forward P/E shown by stockanalysis.com</t>
        </is>
      </c>
      <c r="B18" s="14" t="n">
        <v>20.73</v>
      </c>
      <c r="C18" t="inlineStr">
        <is>
          <t>x</t>
        </is>
      </c>
      <c r="D18" s="7" t="inlineStr">
        <is>
          <t>stockanalysis.com, 6 October 2026.</t>
        </is>
      </c>
    </row>
    <row r="19">
      <c r="A19" t="inlineStr">
        <is>
          <t>Average analyst ADR target</t>
        </is>
      </c>
      <c r="B19" s="13" t="n">
        <v>552.26</v>
      </c>
      <c r="C19" t="inlineStr">
        <is>
          <t>US$</t>
        </is>
      </c>
      <c r="D19" s="7" t="inlineStr">
        <is>
          <t>stockanalysis.com, 21 analysts, 6 October 2026.</t>
        </is>
      </c>
    </row>
    <row r="20">
      <c r="A20" s="11" t="inlineStr">
        <is>
          <t>REPORTED (TSMC 4Q25 presentation, 15 Jan 2026; quarterly releases)</t>
        </is>
      </c>
    </row>
    <row r="21">
      <c r="A21" t="inlineStr">
        <is>
          <t>2024 revenue</t>
        </is>
      </c>
      <c r="B21" s="13" t="n">
        <v>90.08</v>
      </c>
      <c r="C21" t="inlineStr">
        <is>
          <t>US$bn</t>
        </is>
      </c>
      <c r="D21" s="7" t="inlineStr">
        <is>
          <t>TSMC 4Q25 presentation, 2025 financial highlights.</t>
        </is>
      </c>
    </row>
    <row r="22">
      <c r="A22" t="inlineStr">
        <is>
          <t>2025 revenue</t>
        </is>
      </c>
      <c r="B22" s="13" t="n">
        <v>122.42</v>
      </c>
      <c r="C22" t="inlineStr">
        <is>
          <t>US$bn</t>
        </is>
      </c>
      <c r="D22" s="7" t="inlineStr">
        <is>
          <t>Same.</t>
        </is>
      </c>
    </row>
    <row r="23">
      <c r="A23" t="inlineStr">
        <is>
          <t>2024 gross margin</t>
        </is>
      </c>
      <c r="B23" s="16" t="n">
        <v>0.5610000000000001</v>
      </c>
      <c r="C23" t="inlineStr">
        <is>
          <t>%</t>
        </is>
      </c>
      <c r="D23" s="7" t="inlineStr">
        <is>
          <t>Same.</t>
        </is>
      </c>
    </row>
    <row r="24">
      <c r="A24" t="inlineStr">
        <is>
          <t>2025 gross margin</t>
        </is>
      </c>
      <c r="B24" s="16" t="n">
        <v>0.599</v>
      </c>
      <c r="C24" t="inlineStr">
        <is>
          <t>%</t>
        </is>
      </c>
      <c r="D24" s="7" t="inlineStr">
        <is>
          <t>Same.</t>
        </is>
      </c>
    </row>
    <row r="25">
      <c r="A25" t="inlineStr">
        <is>
          <t>2024 operating margin</t>
        </is>
      </c>
      <c r="B25" s="16" t="n">
        <v>0.457</v>
      </c>
      <c r="C25" t="inlineStr">
        <is>
          <t>%</t>
        </is>
      </c>
      <c r="D25" s="7" t="inlineStr">
        <is>
          <t>Same.</t>
        </is>
      </c>
    </row>
    <row r="26">
      <c r="A26" t="inlineStr">
        <is>
          <t>2025 operating margin</t>
        </is>
      </c>
      <c r="B26" s="16" t="n">
        <v>0.508</v>
      </c>
      <c r="C26" t="inlineStr">
        <is>
          <t>%</t>
        </is>
      </c>
      <c r="D26" s="7" t="inlineStr">
        <is>
          <t>Same.</t>
        </is>
      </c>
    </row>
    <row r="27">
      <c r="A27" t="inlineStr">
        <is>
          <t>2024 EPS per ADR</t>
        </is>
      </c>
      <c r="B27" s="13" t="n">
        <v>7.04</v>
      </c>
      <c r="C27" t="inlineStr">
        <is>
          <t>US$</t>
        </is>
      </c>
      <c r="D27" s="7" t="inlineStr">
        <is>
          <t>Sum of the four quarterly releases (US$ per ADR unit).</t>
        </is>
      </c>
    </row>
    <row r="28">
      <c r="A28" t="inlineStr">
        <is>
          <t>2025 EPS per ADR</t>
        </is>
      </c>
      <c r="B28" s="13" t="n">
        <v>10.65</v>
      </c>
      <c r="C28" t="inlineStr">
        <is>
          <t>US$</t>
        </is>
      </c>
      <c r="D28" s="7" t="inlineStr">
        <is>
          <t>Same.</t>
        </is>
      </c>
    </row>
    <row r="29">
      <c r="A29" t="inlineStr">
        <is>
          <t>2024 EPS per share</t>
        </is>
      </c>
      <c r="B29" s="13" t="n">
        <v>45.25</v>
      </c>
      <c r="C29" t="inlineStr">
        <is>
          <t>NT$</t>
        </is>
      </c>
      <c r="D29" s="7" t="inlineStr">
        <is>
          <t>TSMC 4Q25 presentation.</t>
        </is>
      </c>
    </row>
    <row r="30">
      <c r="A30" t="inlineStr">
        <is>
          <t>2025 EPS per share</t>
        </is>
      </c>
      <c r="B30" s="13" t="n">
        <v>66.25</v>
      </c>
      <c r="C30" t="inlineStr">
        <is>
          <t>NT$</t>
        </is>
      </c>
      <c r="D30" s="7" t="inlineStr">
        <is>
          <t>Same.</t>
        </is>
      </c>
    </row>
    <row r="31">
      <c r="A31" t="inlineStr">
        <is>
          <t>Long-term gross margin floor, through the cycle</t>
        </is>
      </c>
      <c r="B31" s="16" t="n">
        <v>0.5600000000000001</v>
      </c>
      <c r="C31" t="inlineStr">
        <is>
          <t>%</t>
        </is>
      </c>
      <c r="D31" s="7" t="inlineStr">
        <is>
          <t>TSMC 4Q25 presentation: 56% and higher through the cycle.</t>
        </is>
      </c>
    </row>
    <row r="32">
      <c r="A32" t="inlineStr">
        <is>
          <t>Revenue CAGR 2024 to 2029, approaching</t>
        </is>
      </c>
      <c r="B32" s="16" t="n">
        <v>0.25</v>
      </c>
      <c r="C32" t="inlineStr">
        <is>
          <t>%</t>
        </is>
      </c>
      <c r="D32" s="7" t="inlineStr">
        <is>
          <t>TSMC 4Q25 presentation, US dollar terms.</t>
        </is>
      </c>
    </row>
    <row r="33">
      <c r="A33" t="inlineStr">
        <is>
          <t>Q3 2026 revenue guide, low</t>
        </is>
      </c>
      <c r="B33" s="13" t="n">
        <v>44.6</v>
      </c>
      <c r="C33" t="inlineStr">
        <is>
          <t>US$bn</t>
        </is>
      </c>
      <c r="D33" s="7" t="inlineStr">
        <is>
          <t>Release of 16 July 2026.</t>
        </is>
      </c>
    </row>
    <row r="34">
      <c r="A34" t="inlineStr">
        <is>
          <t>Q3 2026 revenue guide, high</t>
        </is>
      </c>
      <c r="B34" s="13" t="n">
        <v>45.8</v>
      </c>
      <c r="C34" t="inlineStr">
        <is>
          <t>US$bn</t>
        </is>
      </c>
      <c r="D34" s="7" t="inlineStr">
        <is>
          <t>Same.</t>
        </is>
      </c>
    </row>
    <row r="35">
      <c r="A35" t="inlineStr">
        <is>
          <t>Q3 2026 guide exchange rate</t>
        </is>
      </c>
      <c r="B35" s="13" t="n">
        <v>32</v>
      </c>
      <c r="C35" t="inlineStr">
        <is>
          <t>NT$</t>
        </is>
      </c>
      <c r="D35" s="7" t="inlineStr">
        <is>
          <t>Same.</t>
        </is>
      </c>
    </row>
    <row r="36">
      <c r="A36" s="11" t="inlineStr">
        <is>
          <t>MY ASSUMPTIONS</t>
        </is>
      </c>
    </row>
    <row r="37">
      <c r="A37" t="inlineStr">
        <is>
          <t>Non-operating income, % of revenue</t>
        </is>
      </c>
      <c r="B37" s="17" t="n">
        <v>0.025</v>
      </c>
      <c r="C37" t="inlineStr">
        <is>
          <t>%</t>
        </is>
      </c>
      <c r="D37" s="7" t="inlineStr">
        <is>
          <t>MINE. Q1 2026 level (NT$28.83bn on NT$1,134.10bn). Q2 2026 jump to NT$95.83bn treated as non-recurring.</t>
        </is>
      </c>
    </row>
    <row r="38">
      <c r="A38" t="inlineStr">
        <is>
          <t>Tax and minorities, % of pre-tax profit</t>
        </is>
      </c>
      <c r="B38" s="17" t="n">
        <v>0.17</v>
      </c>
      <c r="C38" t="inlineStr">
        <is>
          <t>%</t>
        </is>
      </c>
      <c r="D38" s="7" t="inlineStr">
        <is>
          <t>MINE. 2025: 15.9%; first half 2026: 17.5%.</t>
        </is>
      </c>
    </row>
    <row r="39">
      <c r="A39" t="inlineStr">
        <is>
          <t>Q3 2026 revenue</t>
        </is>
      </c>
      <c r="B39" s="18" t="n">
        <v>46.4</v>
      </c>
      <c r="C39" t="inlineStr">
        <is>
          <t>US$bn</t>
        </is>
      </c>
      <c r="D39" s="7" t="inlineStr">
        <is>
          <t>MINE. July and August monthly revenue already NT$982.4bn; above the guide top.</t>
        </is>
      </c>
    </row>
    <row r="40">
      <c r="A40" t="inlineStr">
        <is>
          <t>Q3 2026 operating margin</t>
        </is>
      </c>
      <c r="B40" s="17" t="n">
        <v>0.57</v>
      </c>
      <c r="C40" t="inlineStr">
        <is>
          <t>%</t>
        </is>
      </c>
      <c r="D40" s="7" t="inlineStr">
        <is>
          <t>MINE. Middle of the 56 to 58% guide.</t>
        </is>
      </c>
    </row>
    <row r="41">
      <c r="A41" t="inlineStr">
        <is>
          <t>Q4 2026 revenue</t>
        </is>
      </c>
      <c r="B41" s="18" t="n">
        <v>49</v>
      </c>
      <c r="C41" t="inlineStr">
        <is>
          <t>US$bn</t>
        </is>
      </c>
      <c r="D41" s="7" t="inlineStr">
        <is>
          <t>MINE. Gives 2026 growth of 40%, in line with 'slightly above 40%'.</t>
        </is>
      </c>
    </row>
    <row r="42">
      <c r="A42" t="inlineStr">
        <is>
          <t>Q4 2026 operating margin</t>
        </is>
      </c>
      <c r="B42" s="17" t="n">
        <v>0.5600000000000001</v>
      </c>
      <c r="C42" t="inlineStr">
        <is>
          <t>%</t>
        </is>
      </c>
      <c r="D42" s="7" t="inlineStr">
        <is>
          <t>MINE. 2nm ramp dilution of 3 to 4 points on gross margin in the second half.</t>
        </is>
      </c>
    </row>
    <row r="43">
      <c r="A43" t="inlineStr">
        <is>
          <t>2027 revenue growth</t>
        </is>
      </c>
      <c r="B43" s="17" t="n">
        <v>0.24</v>
      </c>
      <c r="C43" t="inlineStr">
        <is>
          <t>%</t>
        </is>
      </c>
      <c r="D43" s="7" t="inlineStr">
        <is>
          <t>MINE. Inside TSMC's 2024 to 2029 plan.</t>
        </is>
      </c>
    </row>
    <row r="44">
      <c r="A44" t="inlineStr">
        <is>
          <t>2028 revenue growth</t>
        </is>
      </c>
      <c r="B44" s="17" t="n">
        <v>0.18</v>
      </c>
      <c r="C44" t="inlineStr">
        <is>
          <t>%</t>
        </is>
      </c>
      <c r="D44" s="7" t="inlineStr">
        <is>
          <t>MINE. Same; leaves about 10% for 2029 to reach ~US$275bn.</t>
        </is>
      </c>
    </row>
    <row r="45">
      <c r="A45" t="inlineStr">
        <is>
          <t>2027 operating margin</t>
        </is>
      </c>
      <c r="B45" s="17" t="n">
        <v>0.57</v>
      </c>
      <c r="C45" t="inlineStr">
        <is>
          <t>%</t>
        </is>
      </c>
      <c r="D45" s="7" t="inlineStr">
        <is>
          <t>MINE. H2 2026 guide level held.</t>
        </is>
      </c>
    </row>
    <row r="46">
      <c r="A46" t="inlineStr">
        <is>
          <t>2028 operating margin</t>
        </is>
      </c>
      <c r="B46" s="17" t="n">
        <v>0.555</v>
      </c>
      <c r="C46" t="inlineStr">
        <is>
          <t>%</t>
        </is>
      </c>
      <c r="D46" s="7" t="inlineStr">
        <is>
          <t>MINE. Depreciation of 2026 to 2027 capex, overseas dilution widening, 2nm.</t>
        </is>
      </c>
    </row>
    <row r="47">
      <c r="A47" t="inlineStr">
        <is>
          <t>Target multiple on 2028E EPS (base)</t>
        </is>
      </c>
      <c r="B47" s="19" t="n">
        <v>20</v>
      </c>
      <c r="C47" t="inlineStr">
        <is>
          <t>x</t>
        </is>
      </c>
      <c r="D47" s="7" t="inlineStr">
        <is>
          <t>MINE. TSMC's own forward P/E today, 20.7x (Peers tab).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QUARTERLY HISTORY, Q1 2024 TO Q2 2026, AND MY Q3 / Q4 2026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>
        <is>
          <t>US$ billion unless stated</t>
        </is>
      </c>
      <c r="B4" s="4" t="inlineStr">
        <is>
          <t>Q1 24</t>
        </is>
      </c>
      <c r="C4" s="4" t="inlineStr">
        <is>
          <t>Q2 24</t>
        </is>
      </c>
      <c r="D4" s="4" t="inlineStr">
        <is>
          <t>Q3 24</t>
        </is>
      </c>
      <c r="E4" s="4" t="inlineStr">
        <is>
          <t>Q4 24</t>
        </is>
      </c>
      <c r="F4" s="4" t="inlineStr">
        <is>
          <t>Q1 25</t>
        </is>
      </c>
      <c r="G4" s="4" t="inlineStr">
        <is>
          <t>Q2 25</t>
        </is>
      </c>
      <c r="H4" s="4" t="inlineStr">
        <is>
          <t>Q3 25</t>
        </is>
      </c>
      <c r="I4" s="4" t="inlineStr">
        <is>
          <t>Q4 25</t>
        </is>
      </c>
      <c r="J4" s="4" t="inlineStr">
        <is>
          <t>Q1 26</t>
        </is>
      </c>
      <c r="K4" s="4" t="inlineStr">
        <is>
          <t>Q2 26</t>
        </is>
      </c>
      <c r="L4" s="4" t="inlineStr">
        <is>
          <t>Q3 26E</t>
        </is>
      </c>
      <c r="M4" s="4" t="inlineStr">
        <is>
          <t>Q4 26E</t>
        </is>
      </c>
    </row>
    <row r="5">
      <c r="A5" s="5" t="inlineStr">
        <is>
          <t>Revenue, US$bn</t>
        </is>
      </c>
      <c r="B5" s="20" t="n">
        <v>18.87</v>
      </c>
      <c r="C5" s="20" t="n">
        <v>20.82</v>
      </c>
      <c r="D5" s="20" t="n">
        <v>23.5</v>
      </c>
      <c r="E5" s="20" t="n">
        <v>26.88</v>
      </c>
      <c r="F5" s="20" t="n">
        <v>25.53</v>
      </c>
      <c r="G5" s="20" t="n">
        <v>30.07</v>
      </c>
      <c r="H5" s="20" t="n">
        <v>33.1</v>
      </c>
      <c r="I5" s="20" t="n">
        <v>33.73</v>
      </c>
      <c r="J5" s="20" t="n">
        <v>35.9</v>
      </c>
      <c r="K5" s="20" t="n">
        <v>40.2</v>
      </c>
      <c r="L5" s="21">
        <f>Assumptions!$B$39</f>
        <v/>
      </c>
      <c r="M5" s="21">
        <f>Assumptions!$B$41</f>
        <v/>
      </c>
    </row>
    <row r="6">
      <c r="A6" s="22" t="inlineStr">
        <is>
          <t>Revenue, NT$bn</t>
        </is>
      </c>
      <c r="B6" s="20" t="n">
        <v>592.64</v>
      </c>
      <c r="C6" s="20" t="n">
        <v>673.51</v>
      </c>
      <c r="D6" s="20" t="n">
        <v>759.6900000000001</v>
      </c>
      <c r="E6" s="20" t="n">
        <v>868.46</v>
      </c>
      <c r="F6" s="20" t="n">
        <v>839.25</v>
      </c>
      <c r="G6" s="20" t="n">
        <v>933.79</v>
      </c>
      <c r="H6" s="20" t="n">
        <v>989.92</v>
      </c>
      <c r="I6" s="20" t="n">
        <v>1046.09</v>
      </c>
      <c r="J6" s="20" t="n">
        <v>1134.1</v>
      </c>
      <c r="K6" s="20" t="n">
        <v>1270.38</v>
      </c>
      <c r="L6" s="23" t="inlineStr"/>
      <c r="M6" s="23" t="inlineStr"/>
    </row>
    <row r="7">
      <c r="A7" s="22" t="inlineStr">
        <is>
          <t>Revenue growth y/y, US$ (derived)</t>
        </is>
      </c>
      <c r="B7" s="24" t="inlineStr"/>
      <c r="C7" s="24" t="inlineStr"/>
      <c r="D7" s="24" t="inlineStr"/>
      <c r="E7" s="24" t="inlineStr"/>
      <c r="F7" s="24">
        <f>F5/B5-1</f>
        <v/>
      </c>
      <c r="G7" s="24">
        <f>G5/C5-1</f>
        <v/>
      </c>
      <c r="H7" s="24">
        <f>H5/D5-1</f>
        <v/>
      </c>
      <c r="I7" s="24">
        <f>I5/E5-1</f>
        <v/>
      </c>
      <c r="J7" s="24">
        <f>J5/F5-1</f>
        <v/>
      </c>
      <c r="K7" s="24">
        <f>K5/G5-1</f>
        <v/>
      </c>
      <c r="L7" s="24">
        <f>L5/H5-1</f>
        <v/>
      </c>
      <c r="M7" s="24">
        <f>M5/I5-1</f>
        <v/>
      </c>
    </row>
    <row r="8">
      <c r="A8" s="5" t="inlineStr">
        <is>
          <t>Gross margin</t>
        </is>
      </c>
      <c r="B8" s="25" t="n">
        <v>0.531</v>
      </c>
      <c r="C8" s="25" t="n">
        <v>0.532</v>
      </c>
      <c r="D8" s="25" t="n">
        <v>0.578</v>
      </c>
      <c r="E8" s="25" t="n">
        <v>0.59</v>
      </c>
      <c r="F8" s="25" t="n">
        <v>0.588</v>
      </c>
      <c r="G8" s="25" t="n">
        <v>0.586</v>
      </c>
      <c r="H8" s="25" t="n">
        <v>0.595</v>
      </c>
      <c r="I8" s="25" t="n">
        <v>0.623</v>
      </c>
      <c r="J8" s="25" t="n">
        <v>0.662</v>
      </c>
      <c r="K8" s="25" t="n">
        <v>0.677</v>
      </c>
      <c r="L8" s="24" t="inlineStr"/>
      <c r="M8" s="24" t="inlineStr"/>
    </row>
    <row r="9">
      <c r="A9" s="22" t="inlineStr">
        <is>
          <t>Operating margin</t>
        </is>
      </c>
      <c r="B9" s="25" t="n">
        <v>0.42</v>
      </c>
      <c r="C9" s="25" t="n">
        <v>0.425</v>
      </c>
      <c r="D9" s="25" t="n">
        <v>0.475</v>
      </c>
      <c r="E9" s="25" t="n">
        <v>0.49</v>
      </c>
      <c r="F9" s="25" t="n">
        <v>0.485</v>
      </c>
      <c r="G9" s="25" t="n">
        <v>0.496</v>
      </c>
      <c r="H9" s="25" t="n">
        <v>0.506</v>
      </c>
      <c r="I9" s="25" t="n">
        <v>0.54</v>
      </c>
      <c r="J9" s="25" t="n">
        <v>0.581</v>
      </c>
      <c r="K9" s="25" t="n">
        <v>0.603</v>
      </c>
      <c r="L9" s="10">
        <f>Assumptions!$B$40</f>
        <v/>
      </c>
      <c r="M9" s="10">
        <f>Assumptions!$B$42</f>
        <v/>
      </c>
    </row>
    <row r="10">
      <c r="A10" s="22" t="inlineStr">
        <is>
          <t>EPS per share, NT$</t>
        </is>
      </c>
      <c r="B10" s="20" t="n">
        <v>8.699999999999999</v>
      </c>
      <c r="C10" s="20" t="n">
        <v>9.56</v>
      </c>
      <c r="D10" s="20" t="n">
        <v>12.54</v>
      </c>
      <c r="E10" s="20" t="n">
        <v>14.45</v>
      </c>
      <c r="F10" s="20" t="n">
        <v>13.94</v>
      </c>
      <c r="G10" s="20" t="n">
        <v>15.36</v>
      </c>
      <c r="H10" s="20" t="n">
        <v>17.44</v>
      </c>
      <c r="I10" s="20" t="n">
        <v>19.5</v>
      </c>
      <c r="J10" s="20" t="n">
        <v>22.08</v>
      </c>
      <c r="K10" s="20" t="n">
        <v>27.25</v>
      </c>
      <c r="L10" s="23" t="inlineStr"/>
      <c r="M10" s="23" t="inlineStr"/>
    </row>
    <row r="11">
      <c r="A11" s="5" t="inlineStr">
        <is>
          <t>EPS per ADR, US$ (reported; Q3 / Q4 26 mine)</t>
        </is>
      </c>
      <c r="B11" s="26" t="n">
        <v>1.38</v>
      </c>
      <c r="C11" s="26" t="n">
        <v>1.48</v>
      </c>
      <c r="D11" s="26" t="n">
        <v>1.94</v>
      </c>
      <c r="E11" s="26" t="n">
        <v>2.24</v>
      </c>
      <c r="F11" s="26" t="n">
        <v>2.12</v>
      </c>
      <c r="G11" s="26" t="n">
        <v>2.47</v>
      </c>
      <c r="H11" s="26" t="n">
        <v>2.92</v>
      </c>
      <c r="I11" s="26" t="n">
        <v>3.14</v>
      </c>
      <c r="J11" s="26" t="n">
        <v>3.49</v>
      </c>
      <c r="K11" s="26" t="n">
        <v>4.31</v>
      </c>
      <c r="L11" s="9">
        <f>L5*(L9+Assumptions!$B$37)*(1-Assumptions!$B$38)*(Assumptions!$B$12/Assumptions!$B$13)</f>
        <v/>
      </c>
      <c r="M11" s="9">
        <f>M5*(M9+Assumptions!$B$37)*(1-Assumptions!$B$38)*(Assumptions!$B$12/Assumptions!$B$13)</f>
        <v/>
      </c>
    </row>
    <row r="12">
      <c r="A12" s="22" t="inlineStr">
        <is>
          <t>HPC share of revenue</t>
        </is>
      </c>
      <c r="B12" s="27" t="n">
        <v>0.46</v>
      </c>
      <c r="C12" s="27" t="n">
        <v>0.52</v>
      </c>
      <c r="D12" s="27" t="n">
        <v>0.51</v>
      </c>
      <c r="E12" s="27" t="n">
        <v>0.53</v>
      </c>
      <c r="F12" s="27" t="n">
        <v>0.59</v>
      </c>
      <c r="G12" s="27" t="n">
        <v>0.6</v>
      </c>
      <c r="H12" s="27" t="n">
        <v>0.57</v>
      </c>
      <c r="I12" s="27" t="n">
        <v>0.55</v>
      </c>
      <c r="J12" s="27" t="n">
        <v>0.61</v>
      </c>
      <c r="K12" s="27" t="n">
        <v>0.66</v>
      </c>
      <c r="L12" s="28" t="inlineStr"/>
      <c r="M12" s="28" t="inlineStr"/>
    </row>
    <row r="13">
      <c r="A13" s="22" t="inlineStr">
        <is>
          <t>7nm and below, share of wafer revenue</t>
        </is>
      </c>
      <c r="B13" s="27" t="n">
        <v>0.65</v>
      </c>
      <c r="C13" s="27" t="n">
        <v>0.67</v>
      </c>
      <c r="D13" s="27" t="n">
        <v>0.6899999999999999</v>
      </c>
      <c r="E13" s="27" t="n">
        <v>0.74</v>
      </c>
      <c r="F13" s="27" t="n">
        <v>0.73</v>
      </c>
      <c r="G13" s="27" t="n">
        <v>0.74</v>
      </c>
      <c r="H13" s="27" t="n">
        <v>0.74</v>
      </c>
      <c r="I13" s="27" t="n">
        <v>0.77</v>
      </c>
      <c r="J13" s="27" t="n">
        <v>0.74</v>
      </c>
      <c r="K13" s="27" t="n">
        <v>0.77</v>
      </c>
      <c r="L13" s="28" t="inlineStr"/>
      <c r="M13" s="28" t="inlineStr"/>
    </row>
    <row r="14">
      <c r="A14" s="22" t="inlineStr">
        <is>
          <t>Gross margin above the 56% floor, points (derived)</t>
        </is>
      </c>
      <c r="B14" s="29">
        <f>(B8-Assumptions!$B$31)*100</f>
        <v/>
      </c>
      <c r="C14" s="29">
        <f>(C8-Assumptions!$B$31)*100</f>
        <v/>
      </c>
      <c r="D14" s="29">
        <f>(D8-Assumptions!$B$31)*100</f>
        <v/>
      </c>
      <c r="E14" s="29">
        <f>(E8-Assumptions!$B$31)*100</f>
        <v/>
      </c>
      <c r="F14" s="29">
        <f>(F8-Assumptions!$B$31)*100</f>
        <v/>
      </c>
      <c r="G14" s="29">
        <f>(G8-Assumptions!$B$31)*100</f>
        <v/>
      </c>
      <c r="H14" s="29">
        <f>(H8-Assumptions!$B$31)*100</f>
        <v/>
      </c>
      <c r="I14" s="29">
        <f>(I8-Assumptions!$B$31)*100</f>
        <v/>
      </c>
      <c r="J14" s="29">
        <f>(J8-Assumptions!$B$31)*100</f>
        <v/>
      </c>
      <c r="K14" s="29">
        <f>(K8-Assumptions!$B$31)*100</f>
        <v/>
      </c>
      <c r="L14" s="30" t="inlineStr"/>
      <c r="M14" s="30" t="inlineStr"/>
    </row>
    <row r="16">
      <c r="A16" s="11" t="inlineStr">
        <is>
          <t>Wafers and the second quarter</t>
        </is>
      </c>
    </row>
    <row r="17">
      <c r="A17" s="3" t="inlineStr">
        <is>
          <t>Item</t>
        </is>
      </c>
      <c r="B17" s="4" t="inlineStr">
        <is>
          <t>Q2 25</t>
        </is>
      </c>
      <c r="C17" s="4" t="inlineStr">
        <is>
          <t>Q1 26</t>
        </is>
      </c>
      <c r="D17" s="4" t="inlineStr">
        <is>
          <t>Q2 26</t>
        </is>
      </c>
      <c r="E17" s="4" t="inlineStr">
        <is>
          <t>Note</t>
        </is>
      </c>
    </row>
    <row r="18">
      <c r="A18" t="inlineStr">
        <is>
          <t>Wafer shipments, thousand 12-inch equivalent</t>
        </is>
      </c>
      <c r="B18" s="31" t="n">
        <v>3718</v>
      </c>
      <c r="C18" s="31" t="n">
        <v>4174</v>
      </c>
      <c r="D18" s="31" t="n">
        <v>4336</v>
      </c>
      <c r="E18" s="12" t="inlineStr">
        <is>
          <t>2Q26 presentation.</t>
        </is>
      </c>
    </row>
    <row r="19">
      <c r="A19" t="inlineStr">
        <is>
          <t>Revenue per wafer, NT$ thousand (derived)</t>
        </is>
      </c>
      <c r="B19" s="32">
        <f>G6/B18*1000</f>
        <v/>
      </c>
      <c r="C19" s="32">
        <f>J6/C18*1000</f>
        <v/>
      </c>
      <c r="D19" s="32">
        <f>K6/D18*1000</f>
        <v/>
      </c>
    </row>
    <row r="20">
      <c r="A20" t="inlineStr">
        <is>
          <t>Wafers y/y, Q2 26 (derived)</t>
        </is>
      </c>
      <c r="B20" s="33">
        <f>D18/B18-1</f>
        <v/>
      </c>
    </row>
    <row r="21">
      <c r="A21" t="inlineStr">
        <is>
          <t>Revenue per wafer y/y, Q2 26 (derived)</t>
        </is>
      </c>
      <c r="B21" s="33">
        <f>D19/B19-1</f>
        <v/>
      </c>
    </row>
    <row r="22">
      <c r="A22" t="inlineStr">
        <is>
          <t>Non-operating items, NT$bn, Q1 26 / Q2 26</t>
        </is>
      </c>
      <c r="B22" s="34" t="n">
        <v>28.83</v>
      </c>
      <c r="C22" s="34" t="n">
        <v>95.83</v>
      </c>
    </row>
    <row r="23">
      <c r="A23" t="inlineStr">
        <is>
          <t>Q2 26 excess non-operating, after tax, per ADR, US$ (derived)</t>
        </is>
      </c>
      <c r="B23" s="35">
        <f>(C22-B22)*(1-Assumptions!$B$38)/Assumptions!$B$13*Assumptions!$B$12/31.60</f>
        <v/>
      </c>
      <c r="E23" s="12" t="inlineStr">
        <is>
          <t>At the Q2 26 average rate of NT$31.60 (2Q26 presentation).</t>
        </is>
      </c>
    </row>
    <row r="24">
      <c r="A24" t="inlineStr">
        <is>
          <t>Capital expenditures, NT$bn, Q1 26 / Q2 26</t>
        </is>
      </c>
      <c r="B24" s="34" t="n">
        <v>350.76</v>
      </c>
      <c r="C24" s="34" t="n">
        <v>496</v>
      </c>
      <c r="D24" s="36">
        <f>B24+C24</f>
        <v/>
      </c>
      <c r="E24" s="12" t="inlineStr">
        <is>
          <t>First half total in column D.</t>
        </is>
      </c>
    </row>
    <row r="25">
      <c r="A25" t="inlineStr">
        <is>
          <t>Capital expenditures, NT$bn, 2024 / 2025</t>
        </is>
      </c>
      <c r="B25" s="34" t="n">
        <v>956.01</v>
      </c>
      <c r="C25" s="34" t="n">
        <v>1272.41</v>
      </c>
    </row>
    <row r="27">
      <c r="A27" s="12" t="inlineStr">
        <is>
          <t>Source: TSMC quarterly results releases and presentations on Form 6-K, 18 April 2024 to 16 July 2026. HPC share from the revenue-by-platform slides.</t>
        </is>
      </c>
    </row>
    <row r="28">
      <c r="A28" s="12" t="inlineStr">
        <is>
          <t>Q3 26E and Q4 26E are my estimates; EPS per ADR = revenue x (operating margin + non-operating %) x (1 - tax) x 5 /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>
      <c r="A1" s="1" t="inlineStr">
        <is>
          <t>MONTHLY REVENUE, NT$ BILLION, AND THE Q3 2026 TRACK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>
        <is>
          <t>Month</t>
        </is>
      </c>
      <c r="B4" s="4" t="inlineStr">
        <is>
          <t>Revenue, NT$bn</t>
        </is>
      </c>
      <c r="C4" s="4" t="inlineStr">
        <is>
          <t>Note</t>
        </is>
      </c>
    </row>
    <row r="5">
      <c r="A5" t="inlineStr">
        <is>
          <t>Jan 25</t>
        </is>
      </c>
      <c r="B5" s="13" t="n">
        <v>293.29</v>
      </c>
    </row>
    <row r="6">
      <c r="A6" t="inlineStr">
        <is>
          <t>Feb 25</t>
        </is>
      </c>
      <c r="B6" s="13" t="n">
        <v>260.01</v>
      </c>
    </row>
    <row r="7">
      <c r="A7" t="inlineStr">
        <is>
          <t>Mar 25</t>
        </is>
      </c>
      <c r="B7" s="13" t="n">
        <v>285.96</v>
      </c>
    </row>
    <row r="8">
      <c r="A8" t="inlineStr">
        <is>
          <t>Apr 25</t>
        </is>
      </c>
      <c r="B8" s="13" t="n">
        <v>349.57</v>
      </c>
    </row>
    <row r="9">
      <c r="A9" t="inlineStr">
        <is>
          <t>May 25</t>
        </is>
      </c>
      <c r="B9" s="13" t="n">
        <v>320.52</v>
      </c>
    </row>
    <row r="10">
      <c r="A10" t="inlineStr">
        <is>
          <t>Jun 25</t>
        </is>
      </c>
      <c r="B10" s="13" t="n">
        <v>263.71</v>
      </c>
    </row>
    <row r="11">
      <c r="A11" t="inlineStr">
        <is>
          <t>Jul 25</t>
        </is>
      </c>
      <c r="B11" s="13" t="n">
        <v>323.17</v>
      </c>
    </row>
    <row r="12">
      <c r="A12" t="inlineStr">
        <is>
          <t>Aug 25</t>
        </is>
      </c>
      <c r="B12" s="13" t="n">
        <v>335.77</v>
      </c>
    </row>
    <row r="13">
      <c r="A13" t="inlineStr">
        <is>
          <t>Sep 25</t>
        </is>
      </c>
      <c r="B13" s="13" t="n">
        <v>330.98</v>
      </c>
    </row>
    <row r="14">
      <c r="A14" t="inlineStr">
        <is>
          <t>Oct 25</t>
        </is>
      </c>
      <c r="B14" s="13" t="n">
        <v>367.47</v>
      </c>
    </row>
    <row r="15">
      <c r="A15" t="inlineStr">
        <is>
          <t>Nov 25</t>
        </is>
      </c>
      <c r="B15" s="13" t="n">
        <v>343.61</v>
      </c>
    </row>
    <row r="16">
      <c r="A16" t="inlineStr">
        <is>
          <t>Dec 25</t>
        </is>
      </c>
      <c r="B16" s="13" t="n">
        <v>335</v>
      </c>
    </row>
    <row r="17">
      <c r="A17" t="inlineStr">
        <is>
          <t>Jan 26</t>
        </is>
      </c>
      <c r="B17" s="13" t="n">
        <v>401.26</v>
      </c>
    </row>
    <row r="18">
      <c r="A18" t="inlineStr">
        <is>
          <t>Feb 26</t>
        </is>
      </c>
      <c r="B18" s="13" t="n">
        <v>317.66</v>
      </c>
    </row>
    <row r="19">
      <c r="A19" t="inlineStr">
        <is>
          <t>Mar 26</t>
        </is>
      </c>
      <c r="B19" s="13" t="n">
        <v>415.19</v>
      </c>
    </row>
    <row r="20">
      <c r="A20" t="inlineStr">
        <is>
          <t>Apr 26</t>
        </is>
      </c>
      <c r="B20" s="13" t="n">
        <v>410.73</v>
      </c>
    </row>
    <row r="21">
      <c r="A21" t="inlineStr">
        <is>
          <t>May 26</t>
        </is>
      </c>
      <c r="B21" s="13" t="n">
        <v>416.98</v>
      </c>
    </row>
    <row r="22">
      <c r="A22" t="inlineStr">
        <is>
          <t>Jun 26</t>
        </is>
      </c>
      <c r="B22" s="13" t="n">
        <v>442.68</v>
      </c>
    </row>
    <row r="23">
      <c r="A23" t="inlineStr">
        <is>
          <t>Jul 26</t>
        </is>
      </c>
      <c r="B23" s="13" t="n">
        <v>467.58</v>
      </c>
    </row>
    <row r="24">
      <c r="A24" t="inlineStr">
        <is>
          <t>Aug 26</t>
        </is>
      </c>
      <c r="B24" s="13" t="n">
        <v>514.8099999999999</v>
      </c>
    </row>
    <row r="26">
      <c r="A26" s="11" t="inlineStr">
        <is>
          <t>Q3 2026 track</t>
        </is>
      </c>
    </row>
    <row r="27">
      <c r="A27" t="inlineStr">
        <is>
          <t>Jul + Aug 2026</t>
        </is>
      </c>
      <c r="B27" s="36">
        <f>B23+B24</f>
        <v/>
      </c>
      <c r="C27" s="12" t="inlineStr">
        <is>
          <t>Two thirds of the quarter, reported.</t>
        </is>
      </c>
    </row>
    <row r="28">
      <c r="A28" t="inlineStr">
        <is>
          <t>Q3 guide low, NT$bn at guide rate</t>
        </is>
      </c>
      <c r="B28" s="36">
        <f>Assumptions!$B$33*Assumptions!$B$35</f>
        <v/>
      </c>
      <c r="C28" s="12" t="inlineStr"/>
    </row>
    <row r="29">
      <c r="A29" t="inlineStr">
        <is>
          <t>Q3 guide high, NT$bn at guide rate</t>
        </is>
      </c>
      <c r="B29" s="36">
        <f>Assumptions!$B$34*Assumptions!$B$35</f>
        <v/>
      </c>
      <c r="C29" s="12" t="inlineStr"/>
    </row>
    <row r="30">
      <c r="A30" t="inlineStr">
        <is>
          <t>September needed for the low end</t>
        </is>
      </c>
      <c r="B30" s="36">
        <f>B28-B27</f>
        <v/>
      </c>
      <c r="C30" s="12" t="inlineStr"/>
    </row>
    <row r="31">
      <c r="A31" t="inlineStr">
        <is>
          <t>September needed for the high end</t>
        </is>
      </c>
      <c r="B31" s="36">
        <f>B29-B27</f>
        <v/>
      </c>
      <c r="C31" s="12" t="inlineStr">
        <is>
          <t>August alone was NT$514.81bn.</t>
        </is>
      </c>
    </row>
    <row r="32">
      <c r="A32" t="inlineStr">
        <is>
          <t>Monthly pace of the guide midpoint</t>
        </is>
      </c>
      <c r="B32" s="36">
        <f>(Assumptions!$B$33+Assumptions!$B$34)/2*Assumptions!$B$35/3</f>
        <v/>
      </c>
      <c r="C32" s="12" t="inlineStr">
        <is>
          <t>Reference line on the chart.</t>
        </is>
      </c>
    </row>
    <row r="33">
      <c r="A33" t="inlineStr">
        <is>
          <t>August 2026 y/y</t>
        </is>
      </c>
      <c r="B33" s="33">
        <f>B24/B12-1</f>
        <v/>
      </c>
      <c r="C33" s="12" t="inlineStr">
        <is>
          <t>August 2025 in row above.</t>
        </is>
      </c>
    </row>
    <row r="35">
      <c r="A35" s="12" t="inlineStr">
        <is>
          <t>Source: TSMC monthly revenue reports on Form 6-K, 10 February 2025 to 10 September 2026. September 2026 is due around 10 October (not confirmed).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FINANCIAL SUMMARY AND FORECASTS (US$ billion unless stated)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/>
      <c r="B4" s="4" t="inlineStr">
        <is>
          <t>2024A</t>
        </is>
      </c>
      <c r="C4" s="4" t="inlineStr">
        <is>
          <t>2025A</t>
        </is>
      </c>
      <c r="D4" s="4" t="inlineStr">
        <is>
          <t>2026E*</t>
        </is>
      </c>
      <c r="E4" s="4" t="inlineStr">
        <is>
          <t>2027E*</t>
        </is>
      </c>
      <c r="F4" s="4" t="inlineStr">
        <is>
          <t>2028E*</t>
        </is>
      </c>
    </row>
    <row r="5">
      <c r="A5" s="5" t="inlineStr">
        <is>
          <t>Revenue</t>
        </is>
      </c>
      <c r="B5" s="21">
        <f>Assumptions!$B$21</f>
        <v/>
      </c>
      <c r="C5" s="21">
        <f>Assumptions!$B$22</f>
        <v/>
      </c>
      <c r="D5" s="23">
        <f>SUM(Quarterly!J5:M5)</f>
        <v/>
      </c>
      <c r="E5" s="23">
        <f>D5*(1+Assumptions!$B$43)</f>
        <v/>
      </c>
      <c r="F5" s="23">
        <f>E5*(1+Assumptions!$B$44)</f>
        <v/>
      </c>
    </row>
    <row r="6">
      <c r="A6" s="22" t="inlineStr">
        <is>
          <t>Revenue growth</t>
        </is>
      </c>
      <c r="B6" s="24" t="inlineStr"/>
      <c r="C6" s="24">
        <f>C5/B5-1</f>
        <v/>
      </c>
      <c r="D6" s="24">
        <f>D5/C5-1</f>
        <v/>
      </c>
      <c r="E6" s="24">
        <f>E5/D5-1</f>
        <v/>
      </c>
      <c r="F6" s="24">
        <f>F5/E5-1</f>
        <v/>
      </c>
    </row>
    <row r="7">
      <c r="A7" s="22" t="inlineStr">
        <is>
          <t>Gross margin (reported; not modelled ahead)</t>
        </is>
      </c>
      <c r="B7" s="10">
        <f>Assumptions!$B$23</f>
        <v/>
      </c>
      <c r="C7" s="10">
        <f>Assumptions!$B$24</f>
        <v/>
      </c>
      <c r="D7" s="24" t="inlineStr"/>
      <c r="E7" s="24" t="inlineStr"/>
      <c r="F7" s="24" t="inlineStr"/>
    </row>
    <row r="8">
      <c r="A8" s="22" t="inlineStr">
        <is>
          <t>Operating margin</t>
        </is>
      </c>
      <c r="B8" s="10">
        <f>Assumptions!$B$25</f>
        <v/>
      </c>
      <c r="C8" s="10">
        <f>Assumptions!$B$26</f>
        <v/>
      </c>
      <c r="D8" s="24">
        <f>SUMPRODUCT(Quarterly!J5:M5,Quarterly!J9:M9)/D5</f>
        <v/>
      </c>
      <c r="E8" s="10">
        <f>Assumptions!$B$45</f>
        <v/>
      </c>
      <c r="F8" s="10">
        <f>Assumptions!$B$46</f>
        <v/>
      </c>
    </row>
    <row r="9">
      <c r="A9" s="5" t="inlineStr">
        <is>
          <t>Operating profit</t>
        </is>
      </c>
      <c r="B9" s="23">
        <f>B5*B8</f>
        <v/>
      </c>
      <c r="C9" s="23">
        <f>C5*C8</f>
        <v/>
      </c>
      <c r="D9" s="23">
        <f>D5*D8</f>
        <v/>
      </c>
      <c r="E9" s="23">
        <f>E5*E8</f>
        <v/>
      </c>
      <c r="F9" s="23">
        <f>F5*F8</f>
        <v/>
      </c>
    </row>
    <row r="10">
      <c r="A10" s="22" t="inlineStr">
        <is>
          <t>Non-operating income</t>
        </is>
      </c>
      <c r="B10" s="23" t="inlineStr"/>
      <c r="C10" s="23" t="inlineStr"/>
      <c r="D10" s="23">
        <f>D5*Assumptions!$B$37</f>
        <v/>
      </c>
      <c r="E10" s="23">
        <f>E5*Assumptions!$B$37</f>
        <v/>
      </c>
      <c r="F10" s="23">
        <f>F5*Assumptions!$B$37</f>
        <v/>
      </c>
    </row>
    <row r="11">
      <c r="A11" s="22" t="inlineStr">
        <is>
          <t>Net income after tax and minorities</t>
        </is>
      </c>
      <c r="B11" s="23" t="inlineStr"/>
      <c r="C11" s="23" t="inlineStr"/>
      <c r="D11" s="23">
        <f>(D9+D10)*(1-Assumptions!$B$38)</f>
        <v/>
      </c>
      <c r="E11" s="23">
        <f>(E9+E10)*(1-Assumptions!$B$38)</f>
        <v/>
      </c>
      <c r="F11" s="23">
        <f>(F9+F10)*(1-Assumptions!$B$38)</f>
        <v/>
      </c>
    </row>
    <row r="12">
      <c r="A12" s="5" t="inlineStr">
        <is>
          <t>EPS per ADR, US$</t>
        </is>
      </c>
      <c r="B12" s="9">
        <f>Assumptions!$B$27</f>
        <v/>
      </c>
      <c r="C12" s="9">
        <f>Assumptions!$B$28</f>
        <v/>
      </c>
      <c r="D12" s="37">
        <f>SUM(Quarterly!J11:M11)</f>
        <v/>
      </c>
      <c r="E12" s="37">
        <f>E11*(Assumptions!$B$12/Assumptions!$B$13)</f>
        <v/>
      </c>
      <c r="F12" s="37">
        <f>F11*(Assumptions!$B$12/Assumptions!$B$13)</f>
        <v/>
      </c>
    </row>
    <row r="13">
      <c r="A13" s="22" t="inlineStr">
        <is>
          <t>EPS growth</t>
        </is>
      </c>
      <c r="B13" s="24" t="inlineStr"/>
      <c r="C13" s="24">
        <f>C12/B12-1</f>
        <v/>
      </c>
      <c r="D13" s="24">
        <f>D12/C12-1</f>
        <v/>
      </c>
      <c r="E13" s="24">
        <f>E12/D12-1</f>
        <v/>
      </c>
      <c r="F13" s="24">
        <f>F12/E12-1</f>
        <v/>
      </c>
    </row>
    <row r="14">
      <c r="A14" s="22" t="inlineStr">
        <is>
          <t>P/E at reference price</t>
        </is>
      </c>
      <c r="B14" s="38">
        <f>Assumptions!$B$7/B12</f>
        <v/>
      </c>
      <c r="C14" s="38">
        <f>Assumptions!$B$7/C12</f>
        <v/>
      </c>
      <c r="D14" s="38">
        <f>Assumptions!$B$7/D12</f>
        <v/>
      </c>
      <c r="E14" s="38">
        <f>Assumptions!$B$7/E12</f>
        <v/>
      </c>
      <c r="F14" s="38">
        <f>Assumptions!$B$7/F12</f>
        <v/>
      </c>
    </row>
    <row r="17">
      <c r="A17" s="12" t="inlineStr">
        <is>
          <t>*2026E to 2028E are my own estimates. 2026E = reported Q1 and Q2 plus my Q3 and Q4 (Quarterly tab); 2026E EPS uses reported first-half EPS per ADR (US$7.80).</t>
        </is>
      </c>
    </row>
    <row r="18">
      <c r="A18" s="12" t="inlineStr">
        <is>
          <t>2024A and 2025A operating profit are derived as revenue x margin. Net income for 2026E (row 11) is illustrative; EPS uses the quarterly build.</t>
        </is>
      </c>
    </row>
    <row r="19">
      <c r="A19" s="12" t="inlineStr">
        <is>
          <t>EPS bridge 2027E and 2028E: (operating profit + non-operating income) x (1 - tax and minorities) x 5 / 25.932bn shares.</t>
        </is>
      </c>
    </row>
    <row r="20">
      <c r="A20" s="12" t="inlineStr">
        <is>
          <t>Note check: 2026E revenue 171.50, EPS 16.81; 2027E 212.66, 20.25; 2028E 250.94, 23.29.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70" customWidth="1" min="3" max="3"/>
  </cols>
  <sheetData>
    <row r="1">
      <c r="A1" s="1" t="inlineStr">
        <is>
          <t>VALUATION: 20x 2028E EPS PER ADR, TWELVE MONTHS OUT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2028E EPS per ADR, US$</t>
        </is>
      </c>
      <c r="B5" s="35">
        <f>Financials!F12</f>
        <v/>
      </c>
      <c r="C5" s="7" t="inlineStr">
        <is>
          <t>The market will be pricing 2028 by October 2027.</t>
        </is>
      </c>
    </row>
    <row r="6">
      <c r="A6" t="inlineStr">
        <is>
          <t>Base multiple, x</t>
        </is>
      </c>
      <c r="B6" s="39">
        <f>Assumptions!$B$47</f>
        <v/>
      </c>
      <c r="C6" s="7" t="inlineStr">
        <is>
          <t>Assumptions tab.</t>
        </is>
      </c>
    </row>
    <row r="7">
      <c r="A7" s="5" t="inlineStr">
        <is>
          <t>Base-case value per ADR, US$</t>
        </is>
      </c>
      <c r="B7" s="40">
        <f>B5*B6</f>
        <v/>
      </c>
      <c r="C7" s="7" t="inlineStr">
        <is>
          <t>EPS x multiple.</t>
        </is>
      </c>
    </row>
    <row r="8">
      <c r="A8" t="inlineStr">
        <is>
          <t>Reference price, US$</t>
        </is>
      </c>
      <c r="B8" s="35">
        <f>Assumptions!$B$7</f>
        <v/>
      </c>
      <c r="C8" s="7" t="inlineStr">
        <is>
          <t>NYSE close, 5 October 2026.</t>
        </is>
      </c>
    </row>
    <row r="9">
      <c r="A9" t="inlineStr">
        <is>
          <t>Base value against the price</t>
        </is>
      </c>
      <c r="B9" s="33">
        <f>B7/B8-1</f>
        <v/>
      </c>
      <c r="C9" s="7" t="inlineStr">
        <is>
          <t>Within +/- 10%: no call on value alone.</t>
        </is>
      </c>
    </row>
    <row r="10">
      <c r="A10" t="inlineStr">
        <is>
          <t>Probability-weighted value, US$</t>
        </is>
      </c>
      <c r="B10" s="35">
        <f>Scenarios!F11</f>
        <v/>
      </c>
      <c r="C10" s="7" t="inlineStr">
        <is>
          <t>Scenarios tab.</t>
        </is>
      </c>
    </row>
    <row r="11">
      <c r="A11" s="5" t="inlineStr">
        <is>
          <t>CALL</t>
        </is>
      </c>
      <c r="B11" s="41">
        <f>IF(B9&gt;0.15,"LONG",IF(B9&lt;-0.15,"SHORT","NO CALL"))</f>
        <v/>
      </c>
      <c r="C11" s="7" t="inlineStr">
        <is>
          <t>Rule of thumb: 15% either side of the price. Conviction is judgement. Tommy Lau's call, 6 Oct 2026.</t>
        </is>
      </c>
    </row>
    <row r="12">
      <c r="A12" t="inlineStr"/>
      <c r="C12" s="7" t="inlineStr"/>
    </row>
    <row r="13">
      <c r="A13" t="inlineStr">
        <is>
          <t>Market value at the ADR price, US$bn</t>
        </is>
      </c>
      <c r="B13" s="42">
        <f>Assumptions!$B$13*Assumptions!$B$7/Assumptions!$B$12</f>
        <v/>
      </c>
      <c r="C13" s="7" t="inlineStr">
        <is>
          <t>Shares / 5 x ADR price.</t>
        </is>
      </c>
    </row>
    <row r="14">
      <c r="A14" t="inlineStr">
        <is>
          <t>Market value at the Taipei price, US$bn</t>
        </is>
      </c>
      <c r="B14" s="42">
        <f>Assumptions!$B$13*Assumptions!$B$10/Assumptions!$B$11</f>
        <v/>
      </c>
      <c r="C14" s="7" t="inlineStr"/>
    </row>
    <row r="15">
      <c r="A15" t="inlineStr">
        <is>
          <t>Net cash, US$bn (approximate)</t>
        </is>
      </c>
      <c r="B15" s="42">
        <f>(Assumptions!$B$14-Assumptions!$B$15)/Assumptions!$B$11</f>
        <v/>
      </c>
      <c r="C15" s="7" t="inlineStr">
        <is>
          <t>Cash and securities less long-term debt, 30 June 2026.</t>
        </is>
      </c>
    </row>
    <row r="16">
      <c r="A16" t="inlineStr">
        <is>
          <t>ADR premium to five Taipei shares</t>
        </is>
      </c>
      <c r="B16" s="33">
        <f>Assumptions!$B$7/Assumptions!$B$12*Assumptions!$B$11/Assumptions!$B$10-1</f>
        <v/>
      </c>
      <c r="C16" s="7" t="inlineStr"/>
    </row>
    <row r="17">
      <c r="A17" t="inlineStr">
        <is>
          <t>ADR change since 30 Sep 2025</t>
        </is>
      </c>
      <c r="B17" s="33">
        <f>Assumptions!$B$7/Assumptions!$B$9-1</f>
        <v/>
      </c>
      <c r="C17" s="7" t="inlineStr"/>
    </row>
    <row r="18">
      <c r="A18" t="inlineStr">
        <is>
          <t>Price below the 52-week high</t>
        </is>
      </c>
      <c r="B18" s="43">
        <f>1-Assumptions!$B$7/Assumptions!$B$8</f>
        <v/>
      </c>
      <c r="C18" s="7" t="inlineStr"/>
    </row>
    <row r="19">
      <c r="A19" t="inlineStr"/>
      <c r="C19" s="7" t="inlineStr"/>
    </row>
    <row r="20">
      <c r="A20" t="inlineStr">
        <is>
          <t>P/E on my 2026E</t>
        </is>
      </c>
      <c r="B20" s="44">
        <f>Financials!D14</f>
        <v/>
      </c>
      <c r="C20" s="7" t="inlineStr"/>
    </row>
    <row r="21">
      <c r="A21" t="inlineStr">
        <is>
          <t>P/E on my 2027E</t>
        </is>
      </c>
      <c r="B21" s="44">
        <f>Financials!E14</f>
        <v/>
      </c>
      <c r="C21" s="7" t="inlineStr"/>
    </row>
    <row r="22">
      <c r="A22" t="inlineStr">
        <is>
          <t>P/E on the 2027 consensus</t>
        </is>
      </c>
      <c r="B22" s="44">
        <f>Assumptions!$B$7/Assumptions!$B$17</f>
        <v/>
      </c>
      <c r="C22" s="7" t="inlineStr">
        <is>
          <t>MarketBeat US$21.33.</t>
        </is>
      </c>
    </row>
    <row r="23">
      <c r="A23" t="inlineStr">
        <is>
          <t>P/E on my 2028E</t>
        </is>
      </c>
      <c r="B23" s="44">
        <f>Financials!F14</f>
        <v/>
      </c>
      <c r="C23" s="7" t="inlineStr"/>
    </row>
    <row r="24">
      <c r="A24" t="inlineStr">
        <is>
          <t>My 2027E EPS against consensus</t>
        </is>
      </c>
      <c r="B24" s="33">
        <f>Financials!E12/Assumptions!$B$17-1</f>
        <v/>
      </c>
      <c r="C24" s="7" t="inlineStr"/>
    </row>
    <row r="25">
      <c r="A25" t="inlineStr"/>
      <c r="C25" s="7" t="inlineStr"/>
    </row>
    <row r="26">
      <c r="A26" t="inlineStr">
        <is>
          <t>2028 EPS the price needs at the base multiple, US$</t>
        </is>
      </c>
      <c r="B26" s="35">
        <f>Assumptions!$B$7/Assumptions!$B$47</f>
        <v/>
      </c>
      <c r="C26" s="7" t="inlineStr">
        <is>
          <t>What the market prices in.</t>
        </is>
      </c>
    </row>
    <row r="27">
      <c r="A27" t="inlineStr">
        <is>
          <t>2028 operating margin that needs, on my 2028E revenue</t>
        </is>
      </c>
      <c r="B27" s="33">
        <f>B26/(Financials!F5*(1-Assumptions!$B$38)*(Assumptions!$B$12/Assumptions!$B$13))-Assumptions!$B$37</f>
        <v/>
      </c>
      <c r="C27" s="7" t="inlineStr">
        <is>
          <t>Against my 55.5%.</t>
        </is>
      </c>
    </row>
    <row r="28">
      <c r="A28" t="inlineStr">
        <is>
          <t>2028 revenue that needs, at my 2028E margin, US$bn</t>
        </is>
      </c>
      <c r="B28" s="42">
        <f>B26/((Assumptions!$B$46+Assumptions!$B$37)*(1-Assumptions!$B$38)*(Assumptions!$B$12/Assumptions!$B$13))</f>
        <v/>
      </c>
      <c r="C28" s="7" t="inlineStr">
        <is>
          <t>Against my US$250.9bn.</t>
        </is>
      </c>
    </row>
    <row r="29">
      <c r="A29" t="inlineStr">
        <is>
          <t>2029 revenue on TSMC's 25% CAGR from 2024, US$bn</t>
        </is>
      </c>
      <c r="B29" s="42">
        <f>Assumptions!$B$21*(1+Assumptions!$B$32)^5</f>
        <v/>
      </c>
      <c r="C29" s="7" t="inlineStr">
        <is>
          <t>TSMC 4Q25 presentation.</t>
        </is>
      </c>
    </row>
    <row r="30">
      <c r="A30" t="inlineStr">
        <is>
          <t>Annual growth that leaves for 2027 to 2029</t>
        </is>
      </c>
      <c r="B30" s="33">
        <f>(B29/Financials!D5)^(1/3)-1</f>
        <v/>
      </c>
      <c r="C30" s="7" t="inlineStr">
        <is>
          <t>My base sits inside this.</t>
        </is>
      </c>
    </row>
    <row r="31">
      <c r="A31" t="inlineStr">
        <is>
          <t>Price that puts the base case 16% above</t>
        </is>
      </c>
      <c r="B31" s="35">
        <f>B7/1.165</f>
        <v/>
      </c>
      <c r="C31" s="7" t="inlineStr">
        <is>
          <t>The 'revisit below about US$400' line.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THREE CASES, TWELVE MONTHS OUT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>
        <is>
          <t>Case</t>
        </is>
      </c>
      <c r="B4" s="4" t="inlineStr">
        <is>
          <t>2027 growth</t>
        </is>
      </c>
      <c r="C4" s="4" t="inlineStr">
        <is>
          <t>2028 growth</t>
        </is>
      </c>
      <c r="D4" s="4" t="inlineStr">
        <is>
          <t>2027 margin</t>
        </is>
      </c>
      <c r="E4" s="4" t="inlineStr">
        <is>
          <t>2028 margin</t>
        </is>
      </c>
      <c r="F4" s="4" t="inlineStr">
        <is>
          <t>2027 revenue</t>
        </is>
      </c>
      <c r="G4" s="4" t="inlineStr">
        <is>
          <t>2028 revenue</t>
        </is>
      </c>
      <c r="H4" s="4" t="inlineStr">
        <is>
          <t>2028 EPS</t>
        </is>
      </c>
      <c r="I4" s="4" t="inlineStr">
        <is>
          <t>Multiple</t>
        </is>
      </c>
      <c r="J4" s="4" t="inlineStr">
        <is>
          <t>Value, US$</t>
        </is>
      </c>
      <c r="K4" s="4" t="inlineStr">
        <is>
          <t>vs price</t>
        </is>
      </c>
    </row>
    <row r="5">
      <c r="A5" s="5" t="inlineStr">
        <is>
          <t>Bear</t>
        </is>
      </c>
      <c r="B5" s="17" t="n">
        <v>0.15</v>
      </c>
      <c r="C5" s="17" t="n">
        <v>0.05</v>
      </c>
      <c r="D5" s="17" t="n">
        <v>0.55</v>
      </c>
      <c r="E5" s="17" t="n">
        <v>0.5</v>
      </c>
      <c r="F5" s="36">
        <f>Financials!$D$5*(1+B5)</f>
        <v/>
      </c>
      <c r="G5" s="36">
        <f>F5*(1+C5)</f>
        <v/>
      </c>
      <c r="H5" s="35">
        <f>G5*(E5+Assumptions!$B$37)*(1-Assumptions!$B$38)*(Assumptions!$B$12/Assumptions!$B$13)</f>
        <v/>
      </c>
      <c r="I5" s="19" t="n">
        <v>16</v>
      </c>
      <c r="J5" s="35">
        <f>H5*I5</f>
        <v/>
      </c>
      <c r="K5" s="45">
        <f>J5/Assumptions!$B$7-1</f>
        <v/>
      </c>
    </row>
    <row r="6">
      <c r="A6" s="5" t="inlineStr">
        <is>
          <t>Base</t>
        </is>
      </c>
      <c r="B6" s="46">
        <f>Assumptions!$B$43</f>
        <v/>
      </c>
      <c r="C6" s="46">
        <f>Assumptions!$B$44</f>
        <v/>
      </c>
      <c r="D6" s="46">
        <f>Assumptions!$B$45</f>
        <v/>
      </c>
      <c r="E6" s="46">
        <f>Assumptions!$B$46</f>
        <v/>
      </c>
      <c r="F6" s="36">
        <f>Financials!$D$5*(1+B6)</f>
        <v/>
      </c>
      <c r="G6" s="36">
        <f>F6*(1+C6)</f>
        <v/>
      </c>
      <c r="H6" s="35">
        <f>G6*(E6+Assumptions!$B$37)*(1-Assumptions!$B$38)*(Assumptions!$B$12/Assumptions!$B$13)</f>
        <v/>
      </c>
      <c r="I6" s="47">
        <f>Assumptions!$B$47</f>
        <v/>
      </c>
      <c r="J6" s="35">
        <f>H6*I6</f>
        <v/>
      </c>
      <c r="K6" s="45">
        <f>J6/Assumptions!$B$7-1</f>
        <v/>
      </c>
    </row>
    <row r="7">
      <c r="A7" s="5" t="inlineStr">
        <is>
          <t>Bull</t>
        </is>
      </c>
      <c r="B7" s="17" t="n">
        <v>0.3</v>
      </c>
      <c r="C7" s="17" t="n">
        <v>0.25</v>
      </c>
      <c r="D7" s="17" t="n">
        <v>0.59</v>
      </c>
      <c r="E7" s="17" t="n">
        <v>0.59</v>
      </c>
      <c r="F7" s="36">
        <f>Financials!$D$5*(1+B7)</f>
        <v/>
      </c>
      <c r="G7" s="36">
        <f>F7*(1+C7)</f>
        <v/>
      </c>
      <c r="H7" s="35">
        <f>G7*(E7+Assumptions!$B$37)*(1-Assumptions!$B$38)*(Assumptions!$B$12/Assumptions!$B$13)</f>
        <v/>
      </c>
      <c r="I7" s="19" t="n">
        <v>24</v>
      </c>
      <c r="J7" s="35">
        <f>H7*I7</f>
        <v/>
      </c>
      <c r="K7" s="45">
        <f>J7/Assumptions!$B$7-1</f>
        <v/>
      </c>
    </row>
    <row r="8">
      <c r="B8" s="5" t="inlineStr">
        <is>
          <t>Bear</t>
        </is>
      </c>
      <c r="C8" s="5" t="inlineStr">
        <is>
          <t>Base</t>
        </is>
      </c>
      <c r="D8" s="5" t="inlineStr">
        <is>
          <t>Bull</t>
        </is>
      </c>
    </row>
    <row r="9">
      <c r="A9" s="5" t="inlineStr">
        <is>
          <t>Probability</t>
        </is>
      </c>
      <c r="B9" s="48" t="n">
        <v>0.25</v>
      </c>
      <c r="C9" s="48" t="n">
        <v>0.5</v>
      </c>
      <c r="D9" s="48" t="n">
        <v>0.25</v>
      </c>
      <c r="E9" s="45">
        <f>SUM(B9:D9)</f>
        <v/>
      </c>
      <c r="F9" s="12" t="inlineStr">
        <is>
          <t>must be 100%</t>
        </is>
      </c>
    </row>
    <row r="11">
      <c r="A11" s="5" t="inlineStr">
        <is>
          <t>Probability-weighted value, US$</t>
        </is>
      </c>
      <c r="F11" s="40">
        <f>B9*J5+C9*J6+D9*J7</f>
        <v/>
      </c>
      <c r="G11" s="33">
        <f>F11/Assumptions!$B$7-1</f>
        <v/>
      </c>
    </row>
    <row r="14">
      <c r="A14" s="12" t="inlineStr">
        <is>
          <t>All cases start from my 2026E revenue and use the same earnings bridge. The 2027 margin affects only 2027 earnings; the value uses 2028.</t>
        </is>
      </c>
    </row>
    <row r="15">
      <c r="A15" s="12" t="inlineStr">
        <is>
          <t>Bear: the grid binds first and TSMC's tightness eases as 2028 capacity lands. Bull: the factory stays the bottleneck and the scarcity margin holds.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VALUE PER ADR: 2028E EPS AGAINST MULTIPLE (US$)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>
        <is>
          <t>2028 EPS \ multiple</t>
        </is>
      </c>
      <c r="B4" s="49" t="n">
        <v>16</v>
      </c>
      <c r="C4" s="49">
        <f>Assumptions!$B$47</f>
        <v/>
      </c>
      <c r="D4" s="49" t="n">
        <v>24</v>
      </c>
    </row>
    <row r="5">
      <c r="A5" s="50" t="n">
        <v>20</v>
      </c>
      <c r="B5" s="51">
        <f>$A5*B$4</f>
        <v/>
      </c>
      <c r="C5" s="51">
        <f>$A5*C$4</f>
        <v/>
      </c>
      <c r="D5" s="51">
        <f>$A5*D$4</f>
        <v/>
      </c>
    </row>
    <row r="6">
      <c r="A6" s="52">
        <f>Financials!F12</f>
        <v/>
      </c>
      <c r="B6" s="51">
        <f>$A6*B$4</f>
        <v/>
      </c>
      <c r="C6" s="53">
        <f>$A6*C$4</f>
        <v/>
      </c>
      <c r="D6" s="51">
        <f>$A6*D$4</f>
        <v/>
      </c>
    </row>
    <row r="7">
      <c r="A7" s="50" t="n">
        <v>26</v>
      </c>
      <c r="B7" s="51">
        <f>$A7*B$4</f>
        <v/>
      </c>
      <c r="C7" s="51">
        <f>$A7*C$4</f>
        <v/>
      </c>
      <c r="D7" s="51">
        <f>$A7*D$4</f>
        <v/>
      </c>
    </row>
    <row r="9">
      <c r="A9" s="5" t="inlineStr">
        <is>
          <t>Cells above the reference price</t>
        </is>
      </c>
      <c r="B9">
        <f>COUNTIF(B5:D7,"&gt;"&amp;Assumptions!$B$7)</f>
        <v/>
      </c>
      <c r="C9" t="inlineStr">
        <is>
          <t>of 9</t>
        </is>
      </c>
    </row>
    <row r="11">
      <c r="A11" s="12" t="inlineStr">
        <is>
          <t>Middle row links to the model's 2028E EPS and the middle column to the base multiple.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80" customWidth="1" min="4" max="4"/>
  </cols>
  <sheetData>
    <row r="1">
      <c r="A1" s="1" t="inlineStr">
        <is>
          <t>PEER MULTIPLES (FORWARD P/E, stockanalysis.com, 6 OCTOBER 2026)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>
        <is>
          <t>Company</t>
        </is>
      </c>
      <c r="B4" s="4" t="inlineStr">
        <is>
          <t>Ticker</t>
        </is>
      </c>
      <c r="C4" s="4" t="inlineStr">
        <is>
          <t>Forward P/E</t>
        </is>
      </c>
      <c r="D4" s="4" t="inlineStr">
        <is>
          <t>What they make</t>
        </is>
      </c>
    </row>
    <row r="5">
      <c r="A5" s="5" t="inlineStr">
        <is>
          <t>TSMC</t>
        </is>
      </c>
      <c r="B5" t="inlineStr">
        <is>
          <t>NYSE: TSM</t>
        </is>
      </c>
      <c r="C5" s="54">
        <f>Assumptions!$B$18</f>
        <v/>
      </c>
      <c r="D5" s="7" t="inlineStr">
        <is>
          <t>Foundry: makes chips others design; CoWoS advanced packaging</t>
        </is>
      </c>
    </row>
    <row r="6">
      <c r="A6" s="22" t="inlineStr">
        <is>
          <t>GlobalFoundries</t>
        </is>
      </c>
      <c r="B6" t="inlineStr">
        <is>
          <t>Nasdaq: GFS</t>
        </is>
      </c>
      <c r="C6" s="55" t="n">
        <v>22.42</v>
      </c>
      <c r="D6" s="7" t="inlineStr">
        <is>
          <t>Foundry, mature and specialty processes</t>
        </is>
      </c>
    </row>
    <row r="7">
      <c r="A7" s="22" t="inlineStr">
        <is>
          <t>United Microelectronics</t>
        </is>
      </c>
      <c r="B7" t="inlineStr">
        <is>
          <t>NYSE: UMC</t>
        </is>
      </c>
      <c r="C7" s="55" t="n">
        <v>23.97</v>
      </c>
      <c r="D7" s="7" t="inlineStr">
        <is>
          <t>Foundry, mature processes; makes interposers</t>
        </is>
      </c>
    </row>
    <row r="8">
      <c r="A8" s="22" t="inlineStr">
        <is>
          <t>Intel</t>
        </is>
      </c>
      <c r="B8" t="inlineStr">
        <is>
          <t>Nasdaq: INTC</t>
        </is>
      </c>
      <c r="C8" s="55" t="n">
        <v>68.81999999999999</v>
      </c>
      <c r="D8" s="7" t="inlineStr">
        <is>
          <t>Designs and makes its own chips; Intel Foundry for outside customers</t>
        </is>
      </c>
    </row>
    <row r="9">
      <c r="A9" s="22" t="inlineStr">
        <is>
          <t>ASE Technology</t>
        </is>
      </c>
      <c r="B9" t="inlineStr">
        <is>
          <t>NYSE: ASX</t>
        </is>
      </c>
      <c r="C9" s="55" t="n">
        <v>31.41</v>
      </c>
      <c r="D9" s="7" t="inlineStr">
        <is>
          <t>Chip packaging and test, including advanced packaging</t>
        </is>
      </c>
    </row>
    <row r="10">
      <c r="A10" s="22" t="inlineStr">
        <is>
          <t>Samsung Electronics</t>
        </is>
      </c>
      <c r="B10" t="inlineStr">
        <is>
          <t>KRX: 005930</t>
        </is>
      </c>
      <c r="C10" s="55" t="n">
        <v>4.46</v>
      </c>
      <c r="D10" s="7" t="inlineStr">
        <is>
          <t>Memory, including stacked HBM; Samsung Foundry</t>
        </is>
      </c>
    </row>
    <row r="11">
      <c r="A11" s="22" t="inlineStr">
        <is>
          <t>Nvidia (customer)</t>
        </is>
      </c>
      <c r="B11" t="inlineStr">
        <is>
          <t>Nasdaq: NVDA</t>
        </is>
      </c>
      <c r="C11" s="55" t="n">
        <v>19.75</v>
      </c>
      <c r="D11" s="7" t="inlineStr">
        <is>
          <t>Designs AI accelerators; has them made at TSMC</t>
        </is>
      </c>
    </row>
    <row r="13">
      <c r="A13" t="inlineStr">
        <is>
          <t>Median of the foundries and ASE (GFS, UMC, ASX)</t>
        </is>
      </c>
      <c r="C13" s="44">
        <f>MEDIAN(C6,C7,C9)</f>
        <v/>
      </c>
    </row>
    <row r="15">
      <c r="A15" s="12" t="inlineStr">
        <is>
          <t>Intel and Samsung multiples are distorted by recovery and memory cycles. Nvidia is a customer, shown for context.</t>
        </is>
      </c>
    </row>
    <row r="16">
      <c r="A16" s="12" t="inlineStr">
        <is>
          <t>Multiples only, to set the base multiple. No view on the peers' shares is expressed.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0" customWidth="1" min="2" max="2"/>
  </cols>
  <sheetData>
    <row r="1">
      <c r="A1" s="1" t="inlineStr">
        <is>
          <t>SOURCES</t>
        </is>
      </c>
    </row>
    <row r="2">
      <c r="A2" s="2" t="inlineStr">
        <is>
          <t>Tommy Lau | TSMC (NYSE: TSM; TWSE: 2330) | 6 October 2026 | Personal research, not investment advice.</t>
        </is>
      </c>
    </row>
    <row r="4">
      <c r="A4" s="3" t="inlineStr">
        <is>
          <t>No.</t>
        </is>
      </c>
      <c r="B4" s="4" t="inlineStr">
        <is>
          <t>Source and what it supports</t>
        </is>
      </c>
    </row>
    <row r="5">
      <c r="A5" t="n">
        <v>1</v>
      </c>
      <c r="B5" s="7" t="inlineStr">
        <is>
          <t>TSMC quarterly results releases (Exhibit 99.1) and presentations furnished on Form 6-K, 18 April 2024 to 16 July 2026: revenue, margins, EPS, mix, wafers, balance sheet, cash flow, Q3 2026 guide.</t>
        </is>
      </c>
    </row>
    <row r="6">
      <c r="A6" t="n">
        <v>2</v>
      </c>
      <c r="B6" s="7" t="inlineStr">
        <is>
          <t>TSMC 4Q25 presentation, 15 January 2026: 2024 and 2025 annual figures; 2024 to 2029 revenue CAGR approaching 25%; long-term gross margin of 56% and higher through the cycle.</t>
        </is>
      </c>
    </row>
    <row r="7">
      <c r="A7" t="n">
        <v>3</v>
      </c>
      <c r="B7" s="7" t="inlineStr">
        <is>
          <t>TSMC monthly revenue reports on Form 6-K, 10 February 2025 to 10 September 2026.</t>
        </is>
      </c>
    </row>
    <row r="8">
      <c r="A8" t="n">
        <v>4</v>
      </c>
      <c r="B8" s="7" t="inlineStr">
        <is>
          <t>TSMC earnings call transcripts, 15 January 2026 and 16 July 2026: wafer supply, power, Taiwan electricity, fab build time, capex timing and the US$60 to 64bn budget, packaging, overseas and 2nm dilution, Arizona, dividends.</t>
        </is>
      </c>
    </row>
    <row r="9">
      <c r="A9" t="n">
        <v>5</v>
      </c>
      <c r="B9" s="7" t="inlineStr">
        <is>
          <t>TSMC Form 6-K, 15 May 2026: sale of up to 8.1% of Vanguard International Semiconductor.</t>
        </is>
      </c>
    </row>
    <row r="10">
      <c r="A10" t="n">
        <v>6</v>
      </c>
      <c r="B10" s="7" t="inlineStr">
        <is>
          <t>TSMC investor relations, quarterly results page: Q3 2026 conference on 15 October 2026, 14:00 Taiwan time.</t>
        </is>
      </c>
    </row>
    <row r="11">
      <c r="A11" t="n">
        <v>7</v>
      </c>
      <c r="B11" s="7" t="inlineStr">
        <is>
          <t>Yahoo Finance chart API, retrieved 6 October 2026: TSM month-end closes and 5 October close, 52-week range, 2330.TW close, TWD=X.</t>
        </is>
      </c>
    </row>
    <row r="12">
      <c r="A12" t="n">
        <v>8</v>
      </c>
      <c r="B12" s="7" t="inlineStr">
        <is>
          <t>MarketBeat, retrieved 6 October 2026: 2026 and 2027 consensus EPS per ADR. stockanalysis.com, retrieved 6 October 2026: forward P/E, analyst target, peer multiples.</t>
        </is>
      </c>
    </row>
    <row r="13">
      <c r="A13" t="n">
        <v>9</v>
      </c>
      <c r="B13" s="7" t="inlineStr">
        <is>
          <t>The Physical Layer, 'TSMC's chief says the AI bottleneck is its factories, not the power grid', 2 October 2026: https://thephysicallayer.fyi/journal/tsmc-says-it-is-the-bottleneck/</t>
        </is>
      </c>
    </row>
    <row r="14">
      <c r="A14" t="n">
        <v>10</v>
      </c>
      <c r="B14" s="7" t="inlineStr">
        <is>
          <t>Estimates for 2026 to 2028 are the author's own. Personal research, not investment advice. I hold no position in TSMC.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2026-10-06T13:47:15Z</dcterms:created>
  <dcterms:modified xmlns:dcterms="http://purl.org/dc/terms/" xmlns:xsi="http://www.w3.org/2001/XMLSchema-instance" xsi:type="dcterms:W3CDTF">2026-10-06T13:47:15Z</dcterms:modified>
</cp:coreProperties>
</file>