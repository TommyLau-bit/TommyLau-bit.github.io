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Cover" sheetId="1" state="visible" r:id="rId3"/>
    <sheet name="Assumptions" sheetId="2" state="visible" r:id="rId4"/>
    <sheet name="Financials" sheetId="3" state="visible" r:id="rId5"/>
    <sheet name="Valuation" sheetId="4" state="visible" r:id="rId6"/>
    <sheet name="Scenarios" sheetId="5" state="visible" r:id="rId7"/>
    <sheet name="Sensitivity" sheetId="6" state="visible" r:id="rId8"/>
    <sheet name="Quarters" sheetId="7" state="visible" r:id="rId9"/>
    <sheet name="Peers"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<sst xmlns="http://schemas.openxmlformats.org/spreadsheetml/2006/main" count="326" uniqueCount="267">
  <si>
    <t xml:space="preserve">FLUENCE ENERGY, INC. (NASDAQ: FLNC)  INITIATION MODEL</t>
  </si>
  <si>
    <t xml:space="preserve">Tommy Lau | Fluence Energy (Nasdaq: FLNC) | 12 October 2026 | Personal research, not investment advice.</t>
  </si>
  <si>
    <t xml:space="preserve">Item</t>
  </si>
  <si>
    <t xml:space="preserve">Value</t>
  </si>
  <si>
    <t xml:space="preserve">Note</t>
  </si>
  <si>
    <t xml:space="preserve">Call (Tommy Lau)</t>
  </si>
  <si>
    <t xml:space="preserve">NO CALL</t>
  </si>
  <si>
    <t xml:space="preserve">Applied on the band to the base value: LONG at +15% or more, SHORT at -25% or worse, NO CALL between.</t>
  </si>
  <si>
    <t xml:space="preserve">Base value per share, US$</t>
  </si>
  <si>
    <t xml:space="preserve">0.45x FY28E revenue less estimated net debt, over Class A plus Class B-1 shares.</t>
  </si>
  <si>
    <t xml:space="preserve">Reference price, US$</t>
  </si>
  <si>
    <t xml:space="preserve">Nasdaq close, 9 October 2026.</t>
  </si>
  <si>
    <t xml:space="preserve">Base value against price</t>
  </si>
  <si>
    <t xml:space="preserve">Probability-weighted value, US$</t>
  </si>
  <si>
    <t xml:space="preserve">25 / 50 / 25 bear / base / bull.</t>
  </si>
  <si>
    <t xml:space="preserve">Conviction</t>
  </si>
  <si>
    <t xml:space="preserve">Medium</t>
  </si>
  <si>
    <t xml:space="preserve">Judgement, not formula.</t>
  </si>
  <si>
    <t xml:space="preserve">Horizon</t>
  </si>
  <si>
    <t xml:space="preserve">12 months, to October 2027</t>
  </si>
  <si>
    <t xml:space="preserve">Revisit if</t>
  </si>
  <si>
    <t xml:space="preserve">See note</t>
  </si>
  <si>
    <t xml:space="preserve">A price below about US$6.85, where my base value would sit 15 per cent above it, or Fluence's first quarterly American production figures, due with its fiscal 2026 results, showing Houston at or near its planned 11 units a day alongside a fiscal 2027 plan of at least US$3.0 billion of revenue.</t>
  </si>
  <si>
    <t xml:space="preserve">Wrong if</t>
  </si>
  <si>
    <t xml:space="preserve">The shares close above US$11.00 or below US$4.50 in October 2027, or the fiscal 2027 plan Fluence publishes with its fiscal 2026 results puts revenue below US$2.6 billion or above US$3.5 billion.</t>
  </si>
  <si>
    <t xml:space="preserve">Tabs</t>
  </si>
  <si>
    <t xml:space="preserve">Assumptions</t>
  </si>
  <si>
    <t xml:space="preserve">Every input, with its source. Change the yellow cells to move the value.</t>
  </si>
  <si>
    <t xml:space="preserve">Financials</t>
  </si>
  <si>
    <t xml:space="preserve">FY24A to FY28E: revenue, adjusted gross profit, net operating costs, adjusted EBITDA, EV multiples.</t>
  </si>
  <si>
    <t xml:space="preserve">Valuation</t>
  </si>
  <si>
    <t xml:space="preserve">Base value, the band, what the price needs, cross-checks, net debt.</t>
  </si>
  <si>
    <t xml:space="preserve">Scenarios</t>
  </si>
  <si>
    <t xml:space="preserve">Bear / base / bull and the probability-weighted value.</t>
  </si>
  <si>
    <t xml:space="preserve">Sensitivity</t>
  </si>
  <si>
    <t xml:space="preserve">FY28E revenue against EV/revenue multiple.</t>
  </si>
  <si>
    <t xml:space="preserve">Quarters</t>
  </si>
  <si>
    <t xml:space="preserve">Quarterly results, backlog, the nine months to June 2026, the implied September quarter, demand indicators.</t>
  </si>
  <si>
    <t xml:space="preserve">Peers</t>
  </si>
  <si>
    <t xml:space="preserve">EV/sales and EV/EBITDA used to set the multiple.</t>
  </si>
  <si>
    <t xml:space="preserve">Sources</t>
  </si>
  <si>
    <t xml:space="preserve">Every source used.</t>
  </si>
  <si>
    <t xml:space="preserve">Colour key: blue = hardcoded input; yellow fill = my own assumption; green = link to another tab; black = formula.</t>
  </si>
  <si>
    <t xml:space="preserve">Companion note: 2026-10-12_Fluence_Initiation.pdf. Personal research, not investment advice.</t>
  </si>
  <si>
    <t xml:space="preserve">ASSUMPTIONS AND INPUTS</t>
  </si>
  <si>
    <t xml:space="preserve">Blue = hardcoded input. Yellow fill = my own assumption (change these to move the value). Green = link to another tab. Black = formula. US$ million unless stated. Fiscal years end 30 September.</t>
  </si>
  <si>
    <t xml:space="preserve">Input</t>
  </si>
  <si>
    <t xml:space="preserve">Unit</t>
  </si>
  <si>
    <t xml:space="preserve">Source / note</t>
  </si>
  <si>
    <t xml:space="preserve">MARKET</t>
  </si>
  <si>
    <t xml:space="preserve">Reference share price</t>
  </si>
  <si>
    <t xml:space="preserve">US$</t>
  </si>
  <si>
    <t xml:space="preserve">Nasdaq close, 9 October 2026. Nasdaq.com historical data, retrieved 12 October 2026.</t>
  </si>
  <si>
    <t xml:space="preserve">Highest close, 3 February 2026</t>
  </si>
  <si>
    <t xml:space="preserve">Nasdaq.com historical data. Intraday high US$33.51 on 30 January 2026.</t>
  </si>
  <si>
    <t xml:space="preserve">Class A shares outstanding, 31 July 2026</t>
  </si>
  <si>
    <t xml:space="preserve">m</t>
  </si>
  <si>
    <t xml:space="preserve">Form 10-Q for the quarter to 30 June 2026, cover page: 143,163,588.</t>
  </si>
  <si>
    <t xml:space="preserve">Class B-1 shares outstanding, 31 July 2026</t>
  </si>
  <si>
    <t xml:space="preserve">Form 10-Q cover: 41,432,781, held by AES Grid Stability; redeemable for Class A one for one.</t>
  </si>
  <si>
    <t xml:space="preserve">Cash, cash equivalents and restricted cash, 30 June 2026</t>
  </si>
  <si>
    <t xml:space="preserve">US$m</t>
  </si>
  <si>
    <t xml:space="preserve">Form 10-Q balance sheet: 339.328 + 25.630.</t>
  </si>
  <si>
    <t xml:space="preserve">2.25% convertible senior notes due 2030, principal</t>
  </si>
  <si>
    <t xml:space="preserve">Form 10-Q, Note 12. Conversion price about US$21.35; treated as debt.</t>
  </si>
  <si>
    <t xml:space="preserve">Cash used in the September 2026 quarter</t>
  </si>
  <si>
    <t xml:space="preserve">MY ASSUMPTION. Not yet reported. Close to the minus US$133m implied by the S&amp;P Global full-year free cash flow forecast less the nine-month actual.</t>
  </si>
  <si>
    <t xml:space="preserve">Free cash flow, nine months to 30 June 2026</t>
  </si>
  <si>
    <t xml:space="preserve">3Q FY26 results release (company definition).</t>
  </si>
  <si>
    <t xml:space="preserve">FY26 free cash flow, consensus</t>
  </si>
  <si>
    <t xml:space="preserve">stockanalysis.com (S&amp;P Global), retrieved 12 October 2026. Cross-check only.</t>
  </si>
  <si>
    <t xml:space="preserve">FY27 revenue, consensus</t>
  </si>
  <si>
    <t xml:space="preserve">Average analyst target</t>
  </si>
  <si>
    <t xml:space="preserve">stockanalysis.com, 23 analysts; median US$8.50, low US$3, high US$23. Cross-check only.</t>
  </si>
  <si>
    <t xml:space="preserve">REPORTED (fiscal years to 30 September)</t>
  </si>
  <si>
    <t xml:space="preserve">FY24 revenue</t>
  </si>
  <si>
    <t xml:space="preserve">4Q and FY25 results release (Form 8-K, Exhibit 99.1), 24 November 2025.</t>
  </si>
  <si>
    <t xml:space="preserve">FY25 revenue</t>
  </si>
  <si>
    <t xml:space="preserve">Same release.</t>
  </si>
  <si>
    <t xml:space="preserve">FY24 adjusted gross profit</t>
  </si>
  <si>
    <t xml:space="preserve">Same release, non-GAAP reconciliation.</t>
  </si>
  <si>
    <t xml:space="preserve">FY25 adjusted gross profit</t>
  </si>
  <si>
    <t xml:space="preserve">FY24 adjusted EBITDA</t>
  </si>
  <si>
    <t xml:space="preserve">FY25 adjusted EBITDA</t>
  </si>
  <si>
    <t xml:space="preserve">FY24 free cash flow</t>
  </si>
  <si>
    <t xml:space="preserve">FY25 free cash flow</t>
  </si>
  <si>
    <t xml:space="preserve">GUIDANCE FOR FY26 (Form 8-K, 16 September 2026)</t>
  </si>
  <si>
    <t xml:space="preserve">FY26 revenue guide</t>
  </si>
  <si>
    <t xml:space="preserve">About US$2.4bn. Was US$2.9 to 3.1bn (5 August 2026) and US$3.2 to 3.6bn (24 November 2025).</t>
  </si>
  <si>
    <t xml:space="preserve">FY26 adjusted EBITDA guide</t>
  </si>
  <si>
    <t xml:space="preserve">A loss of about US$200m. Was minus US$30m to plus US$10m (5 August) and US$40 to 60m (24 November 2025).</t>
  </si>
  <si>
    <t xml:space="preserve">FY26 revenue guide midpoint, November 2025</t>
  </si>
  <si>
    <t xml:space="preserve">4Q and FY25 results release.</t>
  </si>
  <si>
    <t xml:space="preserve">MY ASSUMPTIONS</t>
  </si>
  <si>
    <t xml:space="preserve">FY27 revenue growth</t>
  </si>
  <si>
    <t xml:space="preserve">%</t>
  </si>
  <si>
    <t xml:space="preserve">MY ASSUMPTION. Below the S&amp;P Global consensus of US$3.25bn: US$2.2bn of backlog was scheduled for FY27 at the August call, and Houston must work for the rest.</t>
  </si>
  <si>
    <t xml:space="preserve">FY28 revenue growth</t>
  </si>
  <si>
    <t xml:space="preserve">MY ASSUMPTION. Backlog of US$6.4bn and record orders support it once delivery runs on time.</t>
  </si>
  <si>
    <t xml:space="preserve">FY27 adjusted gross margin</t>
  </si>
  <si>
    <t xml:space="preserve">MY ASSUMPTION. Penalties and launch costs fade through the year.</t>
  </si>
  <si>
    <t xml:space="preserve">FY28 adjusted gross margin</t>
  </si>
  <si>
    <t xml:space="preserve">MY ASSUMPTION. Back to about the 12.9% to 13.7% of FY24 and FY25.</t>
  </si>
  <si>
    <t xml:space="preserve">FY27 net operating costs (adjusted gross profit less adjusted EBITDA)</t>
  </si>
  <si>
    <t xml:space="preserve">MY ASSUMPTION. US$270m in FY24, US$290m in FY25, US$208m in the nine months to June 2026 (Quarters tab).</t>
  </si>
  <si>
    <t xml:space="preserve">FY28 net operating costs</t>
  </si>
  <si>
    <t xml:space="preserve">MY ASSUMPTION. Grows with volume.</t>
  </si>
  <si>
    <t xml:space="preserve">EV / FY28E revenue, base</t>
  </si>
  <si>
    <t xml:space="preserve">x</t>
  </si>
  <si>
    <t xml:space="preserve">MY ASSUMPTION. About 11x my FY28 EBITDA, below the peer median of 13x trailing EV/EBITDA; see Peers.</t>
  </si>
  <si>
    <t xml:space="preserve">FINANCIAL SUMMARY AND FORECASTS (US$ million unless stated; fiscal years to 30 September)</t>
  </si>
  <si>
    <t xml:space="preserve">FY24A</t>
  </si>
  <si>
    <t xml:space="preserve">FY25A</t>
  </si>
  <si>
    <t xml:space="preserve">FY26 guide</t>
  </si>
  <si>
    <t xml:space="preserve">FY27E*</t>
  </si>
  <si>
    <t xml:space="preserve">FY28E*</t>
  </si>
  <si>
    <t xml:space="preserve">Revenue</t>
  </si>
  <si>
    <t xml:space="preserve">Revenue growth</t>
  </si>
  <si>
    <t xml:space="preserve">Adjusted gross margin</t>
  </si>
  <si>
    <t xml:space="preserve">Adjusted gross profit</t>
  </si>
  <si>
    <t xml:space="preserve">Net operating costs (adjusted gross profit less adjusted EBITDA)</t>
  </si>
  <si>
    <t xml:space="preserve">Adjusted EBITDA</t>
  </si>
  <si>
    <t xml:space="preserve">Adjusted EBITDA margin</t>
  </si>
  <si>
    <t xml:space="preserve">Free cash flow</t>
  </si>
  <si>
    <t xml:space="preserve">EV / revenue at reference price</t>
  </si>
  <si>
    <t xml:space="preserve">EV / adjusted EBITDA at reference price</t>
  </si>
  <si>
    <t xml:space="preserve">*FY27E and FY28E are my own estimates, not Fluence's. FY26 is Fluence's own guide of 16 September 2026; it gives no gross margin guide.</t>
  </si>
  <si>
    <t xml:space="preserve">Adjusted gross profit and adjusted EBITDA are Fluence's non-GAAP measures. Net operating costs is my derived line: adjusted gross profit less adjusted EBITDA.</t>
  </si>
  <si>
    <t xml:space="preserve">EV uses my estimate of net debt at 30 September 2026 (Valuation tab). Fluence has given no guidance beyond FY26; its FY27 plan is due with the FY26 results.</t>
  </si>
  <si>
    <t xml:space="preserve">VALUATION: EV / FY28E REVENUE, TWELVE MONTHS OUT</t>
  </si>
  <si>
    <t xml:space="preserve">Line</t>
  </si>
  <si>
    <t xml:space="preserve">Working / note</t>
  </si>
  <si>
    <t xml:space="preserve">FY28E revenue, US$m</t>
  </si>
  <si>
    <t xml:space="preserve">Financials tab. By October 2027 the market will be pricing the year to September 2028.</t>
  </si>
  <si>
    <t xml:space="preserve">Multiple, x revenue</t>
  </si>
  <si>
    <t xml:space="preserve">Assumptions tab.</t>
  </si>
  <si>
    <t xml:space="preserve">Enterprise value at the base multiple, US$m</t>
  </si>
  <si>
    <t xml:space="preserve">Revenue x multiple.</t>
  </si>
  <si>
    <t xml:space="preserve">Less net debt, estimated at 30 September 2026, US$m</t>
  </si>
  <si>
    <t xml:space="preserve">Convertible principal less June cash, plus my estimate of September quarter cash use. Held flat: Fluence aims for neutral to positive operating cash flow in FY27.</t>
  </si>
  <si>
    <t xml:space="preserve">Shares, Class A plus Class B-1, m</t>
  </si>
  <si>
    <t xml:space="preserve">Economic shares. Convertible far out of the money; no dilution assumed.</t>
  </si>
  <si>
    <t xml:space="preserve">BASE VALUE PER SHARE, US$</t>
  </si>
  <si>
    <t xml:space="preserve">Equity value / shares.</t>
  </si>
  <si>
    <t xml:space="preserve">Band: LONG at +15% or more, SHORT at -25% or worse, NO CALL between.</t>
  </si>
  <si>
    <t xml:space="preserve">VIEW ON THE BAND</t>
  </si>
  <si>
    <t xml:space="preserve">Band rule on the base value. Tommy Lau's call: NO CALL.</t>
  </si>
  <si>
    <t xml:space="preserve">Market value, US$m</t>
  </si>
  <si>
    <t xml:space="preserve">Price x shares.</t>
  </si>
  <si>
    <t xml:space="preserve">Enterprise value, US$m</t>
  </si>
  <si>
    <t xml:space="preserve">Market value plus estimated net debt.</t>
  </si>
  <si>
    <t xml:space="preserve">FY28 revenue the price needs at the base multiple, US$m</t>
  </si>
  <si>
    <t xml:space="preserve">Compare with my FY28E (B5) and FY27 consensus.</t>
  </si>
  <si>
    <t xml:space="preserve">That figure against my FY28E</t>
  </si>
  <si>
    <t xml:space="preserve">EV / FY26 revenue guide</t>
  </si>
  <si>
    <t xml:space="preserve">EV / FY27 consensus revenue</t>
  </si>
  <si>
    <t xml:space="preserve">Cross-check only.</t>
  </si>
  <si>
    <t xml:space="preserve">EV / FY28E revenue</t>
  </si>
  <si>
    <t xml:space="preserve">EV / FY28E adjusted EBITDA</t>
  </si>
  <si>
    <t xml:space="preserve">Base case EV / FY28E adjusted EBITDA</t>
  </si>
  <si>
    <t xml:space="preserve">The base revenue multiple expressed on EBITDA; compare Peers.</t>
  </si>
  <si>
    <t xml:space="preserve">Price at which the base value is 15% above it, US$</t>
  </si>
  <si>
    <t xml:space="preserve">Revisit level for a LONG.</t>
  </si>
  <si>
    <t xml:space="preserve">Price at which the base value is 25% below it, US$</t>
  </si>
  <si>
    <t xml:space="preserve">Revisit level for a SHORT.</t>
  </si>
  <si>
    <t xml:space="preserve">Price against highest close</t>
  </si>
  <si>
    <t xml:space="preserve">Highest close US$32.23, 3 February 2026.</t>
  </si>
  <si>
    <t xml:space="preserve">Net debt at 30 June 2026, US$m</t>
  </si>
  <si>
    <t xml:space="preserve">Reported basis.</t>
  </si>
  <si>
    <t xml:space="preserve">Consensus-implied free cash flow, September 2026 quarter, US$m</t>
  </si>
  <si>
    <t xml:space="preserve">Cross-check for my September quarter cash use.</t>
  </si>
  <si>
    <t xml:space="preserve">FY26 revenue guide against the November 2025 midpoint</t>
  </si>
  <si>
    <t xml:space="preserve">THREE CASES, TWELVE MONTHS OUT</t>
  </si>
  <si>
    <t xml:space="preserve">Case</t>
  </si>
  <si>
    <t xml:space="preserve">FY27 growth</t>
  </si>
  <si>
    <t xml:space="preserve">FY28 growth</t>
  </si>
  <si>
    <t xml:space="preserve">FY28 adj. gross margin</t>
  </si>
  <si>
    <t xml:space="preserve">EV/sales</t>
  </si>
  <si>
    <t xml:space="preserve">FY27 revenue</t>
  </si>
  <si>
    <t xml:space="preserve">FY28 revenue</t>
  </si>
  <si>
    <t xml:space="preserve">FY28 adj. EBITDA</t>
  </si>
  <si>
    <t xml:space="preserve">EV/EBITDA</t>
  </si>
  <si>
    <t xml:space="preserve">Value, US$</t>
  </si>
  <si>
    <t xml:space="preserve">vs price</t>
  </si>
  <si>
    <t xml:space="preserve">Bear</t>
  </si>
  <si>
    <t xml:space="preserve">Base</t>
  </si>
  <si>
    <t xml:space="preserve">Bull</t>
  </si>
  <si>
    <t xml:space="preserve">Probability</t>
  </si>
  <si>
    <t xml:space="preserve">must be 100%</t>
  </si>
  <si>
    <t xml:space="preserve">All cases start from the FY26 revenue guide of about US$2.4bn, use my FY28 net operating costs (Assumptions) for the EBITDA cross-check,</t>
  </si>
  <si>
    <t xml:space="preserve">and take off the same estimated net debt over the same shares. Bear: Houston stays slow into 2027 and the FY27 plan is cut again; the bear multiple</t>
  </si>
  <si>
    <t xml:space="preserve">prices a company with almost no earnings and a cash question, so its EV/EBITDA is not meaningful. Bull: Houston fixed early in 2027 and data centre</t>
  </si>
  <si>
    <t xml:space="preserve">awards become orders; the bull multiple is about 10x FY28 EBITDA.</t>
  </si>
  <si>
    <t xml:space="preserve">VALUE PER SHARE: FY28E REVENUE AGAINST EV / REVENUE MULTIPLE (US$)</t>
  </si>
  <si>
    <t xml:space="preserve">FY28 revenue (US$m) \ multiple</t>
  </si>
  <si>
    <t xml:space="preserve">Cells above the reference price</t>
  </si>
  <si>
    <t xml:space="preserve">of 9</t>
  </si>
  <si>
    <t xml:space="preserve">Cells 15% or more above the price</t>
  </si>
  <si>
    <t xml:space="preserve">Middle row links to the model's FY28E revenue and the middle column to the base multiple, so the grid moves with the assumptions.</t>
  </si>
  <si>
    <t xml:space="preserve">QUARTERLY RESULTS, BACKLOG AND THE FY26 CUTS (US$ million unless stated)</t>
  </si>
  <si>
    <t xml:space="preserve">Quarter (fiscal year to 30 September)</t>
  </si>
  <si>
    <t xml:space="preserve">Q1 FY25</t>
  </si>
  <si>
    <t xml:space="preserve">Q2 FY25</t>
  </si>
  <si>
    <t xml:space="preserve">Q3 FY25</t>
  </si>
  <si>
    <t xml:space="preserve">Q4 FY25</t>
  </si>
  <si>
    <t xml:space="preserve">Q1 FY26</t>
  </si>
  <si>
    <t xml:space="preserve">Q2 FY26</t>
  </si>
  <si>
    <t xml:space="preserve">Q3 FY26</t>
  </si>
  <si>
    <t xml:space="preserve">GAAP gross profit</t>
  </si>
  <si>
    <t xml:space="preserve">GAAP gross margin (derived)</t>
  </si>
  <si>
    <t xml:space="preserve">Adjusted gross margin, as reported</t>
  </si>
  <si>
    <t xml:space="preserve">Backlog at quarter end, US$bn</t>
  </si>
  <si>
    <t xml:space="preserve">Nine months to 30 June 2026</t>
  </si>
  <si>
    <t xml:space="preserve">Adjusted gross profit (reported)</t>
  </si>
  <si>
    <t xml:space="preserve">Net operating costs (derived)</t>
  </si>
  <si>
    <t xml:space="preserve">Revenue from customers in the Americas</t>
  </si>
  <si>
    <t xml:space="preserve">Americas share of revenue</t>
  </si>
  <si>
    <t xml:space="preserve">September 2026 quarter implied by the FY26 guide</t>
  </si>
  <si>
    <t xml:space="preserve">Demand indicators (Form 10-Q)</t>
  </si>
  <si>
    <t xml:space="preserve">Metric</t>
  </si>
  <si>
    <t xml:space="preserve">Latest</t>
  </si>
  <si>
    <t xml:space="preserve">Year earlier</t>
  </si>
  <si>
    <t xml:space="preserve">Change</t>
  </si>
  <si>
    <t xml:space="preserve">Storage contracted, nine months, GW</t>
  </si>
  <si>
    <t xml:space="preserve">Storage pipeline, GWh (30 Jun 2026 vs 30 Sep 2025)</t>
  </si>
  <si>
    <t xml:space="preserve">Sources: Fluence quarterly results releases, 10 February 2025 to 5 August 2026; Form 10-Q for the quarter to 30 June 2026 (revenue by region,</t>
  </si>
  <si>
    <t xml:space="preserve">key operating metrics). Adjusted gross margin as first reported in each release. Order intake in US$: 778.0 (Dec 24), 200.0 (Mar 25), 508.8 (Jun 25),</t>
  </si>
  <si>
    <t xml:space="preserve">over 1,400 (Sep 25), over 750 (Dec 25), over 1,440 (Jun 26); the March 2026 quarter was not given on its own.</t>
  </si>
  <si>
    <t xml:space="preserve">PEER MULTIPLES (stockanalysis.com, RETRIEVED 12 OCTOBER 2026; TRAILING)</t>
  </si>
  <si>
    <t xml:space="preserve">Company</t>
  </si>
  <si>
    <t xml:space="preserve">Ticker</t>
  </si>
  <si>
    <t xml:space="preserve">What they make</t>
  </si>
  <si>
    <t xml:space="preserve">Fluence</t>
  </si>
  <si>
    <t xml:space="preserve">Nasdaq: FLNC</t>
  </si>
  <si>
    <t xml:space="preserve">n.m.</t>
  </si>
  <si>
    <t xml:space="preserve">Grid battery systems, services and control software (integrator)</t>
  </si>
  <si>
    <t xml:space="preserve">Sungrow</t>
  </si>
  <si>
    <t xml:space="preserve">SZSE: 300274</t>
  </si>
  <si>
    <t xml:space="preserve">Inverters and grid battery systems</t>
  </si>
  <si>
    <t xml:space="preserve">Nextracker</t>
  </si>
  <si>
    <t xml:space="preserve">Nasdaq: NXT</t>
  </si>
  <si>
    <t xml:space="preserve">Solar trackers</t>
  </si>
  <si>
    <t xml:space="preserve">Shoals</t>
  </si>
  <si>
    <t xml:space="preserve">Nasdaq: SHLS</t>
  </si>
  <si>
    <t xml:space="preserve">Electrical balance of system for solar and storage</t>
  </si>
  <si>
    <t xml:space="preserve">Array Technologies</t>
  </si>
  <si>
    <t xml:space="preserve">Nasdaq: ARRY</t>
  </si>
  <si>
    <t xml:space="preserve">Eos Energy</t>
  </si>
  <si>
    <t xml:space="preserve">Nasdaq: EOSE</t>
  </si>
  <si>
    <t xml:space="preserve">Zinc-based long-duration batteries</t>
  </si>
  <si>
    <t xml:space="preserve">Peer median (four peers with positive EBITDA; excludes Fluence and Eos Energy)</t>
  </si>
  <si>
    <t xml:space="preserve">Fluence base case on FY28E EBITDA</t>
  </si>
  <si>
    <t xml:space="preserve">Multiples only, to set the range. No view on the peers' shares is expressed. n.m. = not meaningful (negative EBITDA).</t>
  </si>
  <si>
    <t xml:space="preserve">Fluence's own trailing EV/sales as computed by stockanalysis.com; the model's EV uses my net debt estimate.</t>
  </si>
  <si>
    <t xml:space="preserve">SOURCES</t>
  </si>
  <si>
    <t xml:space="preserve">No.</t>
  </si>
  <si>
    <t xml:space="preserve">Source and what it supports</t>
  </si>
  <si>
    <t xml:space="preserve">Fluence quarterly results releases, Form 8-K Exhibit 99.1: 10 February 2025, 7 May 2025, 11 August 2025, 24 November 2025 (FY25 and first FY26 guide), 4 February 2026, 6 May 2026, 5 August 2026 (first FY26 cut). Revenue, gross and adjusted gross profit, adjusted EBITDA, free cash flow, orders, backlog, liquidity.</t>
  </si>
  <si>
    <t xml:space="preserve">Fluence Form 8-K of 16 September 2026, Exhibit 99.1 (revised FY26 guide; Houston named as the primary reason; plans to report US production, actual and forecast; FY27 plan with FY26 results) and Exhibit 99.2 (Bernerd Da Santos as chief operating officer).</t>
  </si>
  <si>
    <t xml:space="preserve">Fluence Form 10-Q for the quarter to 30 June 2026, filed 5 August 2026: balance sheet, shares, convertible notes (Note 12), backlog conversion, key operating metrics, revenue by region, liquidated damages, credit agreement covenants, shelf registration, secondary offering.</t>
  </si>
  <si>
    <t xml:space="preserve">Fluence Form 8-K of 15 May 2026 (AES redemption) and Form 8-K of 9 October 2026 (separation of the chief product officer).</t>
  </si>
  <si>
    <t xml:space="preserve">Fluence third quarter fiscal 2026 earnings call, 6 August 2026, transcript published by The Motley Fool on 12 August 2026: Houston capacity and timing, generators, US$2.2bn of backlog scheduled for FY27, data centre pipeline and awards.</t>
  </si>
  <si>
    <t xml:space="preserve">Latitude Media (21 September 2026), mgrid.org (18 September 2026) and the Quartr summary of the 16 September 2026 call: Houston unit rates, the American share of the cut, penalties, quarterly US production reporting. Not verified against the replay.</t>
  </si>
  <si>
    <t xml:space="preserve">Nasdaq.com historical data, retrieved 12 October 2026: daily and month-end closes, highs and lows.</t>
  </si>
  <si>
    <t xml:space="preserve">stockanalysis.com (S&amp;P Global consensus), retrieved 12 October 2026: consensus revenue, free cash flow, targets, ratings, short interest, peer multiples.</t>
  </si>
  <si>
    <t xml:space="preserve">The Physical Layer, 'Fluence has plenty of batteries. What it is short of is American-made ones', 12 October 2026: https://thephysicallayer.fyi/journal/fluence-short-of-american-made/</t>
  </si>
  <si>
    <t xml:space="preserve">Estimates for FY27 and FY28 and the September 2026 quarter cash use are the author's own. Personal research, not investment advice.</t>
  </si>
</sst>
</file>

<file path=xl/styles.xml><?xml version="1.0" encoding="utf-8"?>
<styleSheet xmlns="http://schemas.openxmlformats.org/spreadsheetml/2006/main">
  <numFmts count="10">
    <numFmt numFmtId="164" formatCode="General"/>
    <numFmt numFmtId="165" formatCode="&quot;US$&quot;#,##0.00"/>
    <numFmt numFmtId="166" formatCode="0.0%"/>
    <numFmt numFmtId="167" formatCode="#,##0.000"/>
    <numFmt numFmtId="168" formatCode="#,##0.0"/>
    <numFmt numFmtId="169" formatCode="0.00\x"/>
    <numFmt numFmtId="170" formatCode="0.0\x"/>
    <numFmt numFmtId="171" formatCode="0%"/>
    <numFmt numFmtId="172" formatCode="#,##0"/>
    <numFmt numFmtId="173" formatCode="0.0"/>
  </numFmts>
  <fonts count="15">
    <font>
      <sz val="11"/>
      <color theme="1"/>
      <name val="Calibri"/>
      <family val="2"/>
      <charset val="1"/>
    </font>
    <font>
      <sz val="10"/>
      <name val="Arial"/>
      <family val="0"/>
    </font>
    <font>
      <sz val="10"/>
      <name val="Arial"/>
      <family val="0"/>
    </font>
    <font>
      <sz val="10"/>
      <name val="Arial"/>
      <family val="0"/>
    </font>
    <font>
      <b val="true"/>
      <sz val="12"/>
      <color rgb="FF1F3864"/>
      <name val="Cambria"/>
      <family val="0"/>
      <charset val="1"/>
    </font>
    <font>
      <sz val="9"/>
      <color rgb="FF595959"/>
      <name val="Cambria"/>
      <family val="0"/>
      <charset val="1"/>
    </font>
    <font>
      <b val="true"/>
      <sz val="10"/>
      <color rgb="FFFFFFFF"/>
      <name val="Cambria"/>
      <family val="0"/>
      <charset val="1"/>
    </font>
    <font>
      <b val="true"/>
      <sz val="11"/>
      <name val="Cambria"/>
      <family val="0"/>
      <charset val="1"/>
    </font>
    <font>
      <sz val="11"/>
      <color rgb="FF0000FF"/>
      <name val="Cambria"/>
      <family val="0"/>
      <charset val="1"/>
    </font>
    <font>
      <sz val="11"/>
      <color rgb="FF008000"/>
      <name val="Cambria"/>
      <family val="0"/>
      <charset val="1"/>
    </font>
    <font>
      <b val="true"/>
      <sz val="11"/>
      <color rgb="FF1F3864"/>
      <name val="Cambria"/>
      <family val="0"/>
      <charset val="1"/>
    </font>
    <font>
      <i val="true"/>
      <sz val="9"/>
      <color rgb="FF595959"/>
      <name val="Cambria"/>
      <family val="0"/>
      <charset val="1"/>
    </font>
    <font>
      <b val="true"/>
      <sz val="11"/>
      <color rgb="FF0000FF"/>
      <name val="Cambria"/>
      <family val="0"/>
      <charset val="1"/>
    </font>
    <font>
      <sz val="11"/>
      <name val="Cambria"/>
      <family val="0"/>
      <charset val="1"/>
    </font>
    <font>
      <b val="true"/>
      <sz val="11"/>
      <color rgb="FFFFFFFF"/>
      <name val="Cambria"/>
      <family val="0"/>
      <charset val="1"/>
    </font>
  </fonts>
  <fills count="5">
    <fill>
      <patternFill patternType="none"/>
    </fill>
    <fill>
      <patternFill patternType="gray125"/>
    </fill>
    <fill>
      <patternFill patternType="solid">
        <fgColor rgb="FF1F3864"/>
        <bgColor rgb="FF333333"/>
      </patternFill>
    </fill>
    <fill>
      <patternFill patternType="solid">
        <fgColor rgb="FFFFFF00"/>
        <bgColor rgb="FFFFFF00"/>
      </patternFill>
    </fill>
    <fill>
      <patternFill patternType="solid">
        <fgColor rgb="FFD9E2F3"/>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left" vertical="center" textRotation="0" wrapText="true" indent="0" shrinkToFit="false"/>
      <protection locked="true" hidden="false"/>
    </xf>
    <xf numFmtId="164" fontId="6" fillId="2" borderId="0" xfId="0" applyFont="true" applyBorder="false" applyAlignment="true" applyProtection="true">
      <alignment horizontal="right" vertical="center"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right" vertical="bottom" textRotation="0" wrapText="fals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5" fontId="9" fillId="0" borderId="0" xfId="0" applyFont="true" applyBorder="false" applyAlignment="true" applyProtection="true">
      <alignment horizontal="right" vertical="bottom" textRotation="0" wrapText="false" indent="0" shrinkToFit="false"/>
      <protection locked="true" hidden="false"/>
    </xf>
    <xf numFmtId="166" fontId="9" fillId="0" borderId="0" xfId="0" applyFont="true" applyBorder="false" applyAlignment="true" applyProtection="true">
      <alignment horizontal="right"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5" fontId="8" fillId="0" borderId="0" xfId="0" applyFont="true" applyBorder="false" applyAlignment="true" applyProtection="true">
      <alignment horizontal="general" vertical="bottom" textRotation="0" wrapText="false" indent="0" shrinkToFit="false"/>
      <protection locked="true" hidden="false"/>
    </xf>
    <xf numFmtId="167" fontId="8" fillId="0" borderId="0" xfId="0" applyFont="tru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general" vertical="bottom" textRotation="0" wrapText="false" indent="0" shrinkToFit="false"/>
      <protection locked="true" hidden="false"/>
    </xf>
    <xf numFmtId="168" fontId="12" fillId="3" borderId="0" xfId="0" applyFont="true" applyBorder="false" applyAlignment="true" applyProtection="true">
      <alignment horizontal="general" vertical="bottom" textRotation="0" wrapText="false" indent="0" shrinkToFit="false"/>
      <protection locked="true" hidden="false"/>
    </xf>
    <xf numFmtId="166" fontId="12" fillId="3" borderId="0" xfId="0" applyFont="true" applyBorder="false" applyAlignment="true" applyProtection="true">
      <alignment horizontal="general" vertical="bottom" textRotation="0" wrapText="false" indent="0" shrinkToFit="false"/>
      <protection locked="true" hidden="false"/>
    </xf>
    <xf numFmtId="169" fontId="12" fillId="3"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right" vertical="bottom" textRotation="0" wrapText="false" indent="0" shrinkToFit="false"/>
      <protection locked="true" hidden="false"/>
    </xf>
    <xf numFmtId="168" fontId="0" fillId="0" borderId="0" xfId="0" applyFont="false" applyBorder="false" applyAlignment="true" applyProtection="true">
      <alignment horizontal="right"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right" vertical="bottom" textRotation="0" wrapText="false" indent="0" shrinkToFit="false"/>
      <protection locked="true" hidden="false"/>
    </xf>
    <xf numFmtId="169" fontId="0" fillId="0" borderId="0" xfId="0" applyFont="false" applyBorder="false" applyAlignment="true" applyProtection="true">
      <alignment horizontal="right" vertical="bottom" textRotation="0" wrapText="false" indent="0" shrinkToFit="false"/>
      <protection locked="true" hidden="false"/>
    </xf>
    <xf numFmtId="170" fontId="0" fillId="0" borderId="0" xfId="0" applyFont="false" applyBorder="false" applyAlignment="true" applyProtection="true">
      <alignment horizontal="right"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9" fontId="9" fillId="0" borderId="0" xfId="0" applyFont="true" applyBorder="false" applyAlignment="true" applyProtection="true">
      <alignment horizontal="general" vertical="bottom" textRotation="0" wrapText="false" indent="0" shrinkToFit="false"/>
      <protection locked="tru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5" fontId="7" fillId="4" borderId="0" xfId="0" applyFont="true" applyBorder="false" applyAlignment="true" applyProtection="true">
      <alignment horizontal="general" vertical="bottom" textRotation="0" wrapText="false" indent="0" shrinkToFit="false"/>
      <protection locked="true" hidden="false"/>
    </xf>
    <xf numFmtId="165" fontId="9" fillId="0" borderId="0" xfId="0" applyFont="true" applyBorder="false" applyAlignment="true" applyProtection="true">
      <alignment horizontal="general"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7" fillId="4" borderId="0" xfId="0" applyFont="true" applyBorder="fals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70"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71" fontId="0" fillId="0" borderId="0" xfId="0" applyFont="false" applyBorder="false" applyAlignment="true" applyProtection="true">
      <alignment horizontal="general" vertical="bottom" textRotation="0" wrapText="false" indent="0" shrinkToFit="false"/>
      <protection locked="true" hidden="false"/>
    </xf>
    <xf numFmtId="166" fontId="9" fillId="0" borderId="0" xfId="0" applyFont="true" applyBorder="false" applyAlignment="true" applyProtection="true">
      <alignment horizontal="general" vertical="bottom" textRotation="0" wrapText="false" indent="0" shrinkToFit="false"/>
      <protection locked="true" hidden="false"/>
    </xf>
    <xf numFmtId="171" fontId="12" fillId="3" borderId="0" xfId="0" applyFont="true" applyBorder="false" applyAlignment="true" applyProtection="true">
      <alignment horizontal="general" vertical="bottom" textRotation="0" wrapText="false" indent="0" shrinkToFit="false"/>
      <protection locked="true" hidden="false"/>
    </xf>
    <xf numFmtId="169" fontId="14" fillId="2" borderId="0" xfId="0" applyFont="true" applyBorder="false" applyAlignment="true" applyProtection="true">
      <alignment horizontal="right" vertical="bottom" textRotation="0" wrapText="false" indent="0" shrinkToFit="false"/>
      <protection locked="true" hidden="false"/>
    </xf>
    <xf numFmtId="172" fontId="8" fillId="0" borderId="0" xfId="0" applyFont="true" applyBorder="false" applyAlignment="true" applyProtection="true">
      <alignment horizontal="general" vertical="bottom" textRotation="0" wrapText="false" indent="0" shrinkToFit="false"/>
      <protection locked="true" hidden="false"/>
    </xf>
    <xf numFmtId="172" fontId="9" fillId="0" borderId="0" xfId="0" applyFont="true" applyBorder="false" applyAlignment="true" applyProtection="true">
      <alignment horizontal="general" vertical="bottom" textRotation="0" wrapText="false" indent="0" shrinkToFit="false"/>
      <protection locked="true" hidden="false"/>
    </xf>
    <xf numFmtId="165" fontId="0" fillId="4" borderId="0" xfId="0" applyFont="false" applyBorder="false" applyAlignment="true" applyProtection="true">
      <alignment horizontal="general" vertical="bottom" textRotation="0" wrapText="false" indent="0" shrinkToFit="false"/>
      <protection locked="true" hidden="false"/>
    </xf>
    <xf numFmtId="168" fontId="8" fillId="0" borderId="0" xfId="0" applyFont="true" applyBorder="false" applyAlignment="true" applyProtection="true">
      <alignment horizontal="right" vertical="bottom" textRotation="0" wrapText="false" indent="0" shrinkToFit="false"/>
      <protection locked="true" hidden="false"/>
    </xf>
    <xf numFmtId="166" fontId="8" fillId="0" borderId="0" xfId="0" applyFont="true" applyBorder="false" applyAlignment="true" applyProtection="true">
      <alignment horizontal="right" vertical="bottom" textRotation="0" wrapText="false" indent="0" shrinkToFit="false"/>
      <protection locked="true" hidden="false"/>
    </xf>
    <xf numFmtId="173" fontId="8" fillId="0" borderId="0" xfId="0" applyFont="true" applyBorder="false" applyAlignment="true" applyProtection="true">
      <alignment horizontal="right" vertical="bottom" textRotation="0" wrapText="false" indent="0" shrinkToFit="false"/>
      <protection locked="true" hidden="false"/>
    </xf>
    <xf numFmtId="173" fontId="8" fillId="0" borderId="0" xfId="0" applyFont="true" applyBorder="false" applyAlignment="true" applyProtection="true">
      <alignment horizontal="general" vertical="bottom" textRotation="0" wrapText="false" indent="0" shrinkToFit="false"/>
      <protection locked="true" hidden="false"/>
    </xf>
    <xf numFmtId="169" fontId="8" fillId="0" borderId="0" xfId="0" applyFont="true" applyBorder="false" applyAlignment="true" applyProtection="true">
      <alignment horizontal="right" vertical="bottom" textRotation="0" wrapText="false" indent="0" shrinkToFit="false"/>
      <protection locked="true" hidden="false"/>
    </xf>
    <xf numFmtId="170" fontId="8" fillId="0" borderId="0" xfId="0" applyFont="true" applyBorder="false" applyAlignment="true" applyProtection="true">
      <alignment horizontal="right"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36"/>
    <col collapsed="false" customWidth="true" hidden="false" outlineLevel="0" max="2" min="2" style="1" width="24"/>
    <col collapsed="false" customWidth="true" hidden="false" outlineLevel="0" max="3" min="3" style="1" width="90"/>
  </cols>
  <sheetData>
    <row r="1" customFormat="false" ht="15" hidden="false" customHeight="false" outlineLevel="0" collapsed="false">
      <c r="A1" s="2" t="s">
        <v>0</v>
      </c>
    </row>
    <row r="2" customFormat="false" ht="15" hidden="false" customHeight="false" outlineLevel="0" collapsed="false">
      <c r="A2" s="3" t="s">
        <v>1</v>
      </c>
    </row>
    <row r="4" customFormat="false" ht="15" hidden="false" customHeight="false" outlineLevel="0" collapsed="false">
      <c r="A4" s="4" t="s">
        <v>2</v>
      </c>
      <c r="B4" s="5" t="s">
        <v>3</v>
      </c>
      <c r="C4" s="5" t="s">
        <v>4</v>
      </c>
    </row>
    <row r="5" customFormat="false" ht="23.85" hidden="false" customHeight="false" outlineLevel="0" collapsed="false">
      <c r="A5" s="6" t="s">
        <v>5</v>
      </c>
      <c r="B5" s="7" t="s">
        <v>6</v>
      </c>
      <c r="C5" s="8" t="s">
        <v>7</v>
      </c>
    </row>
    <row r="6" customFormat="false" ht="15" hidden="false" customHeight="false" outlineLevel="0" collapsed="false">
      <c r="A6" s="6" t="s">
        <v>8</v>
      </c>
      <c r="B6" s="9" t="n">
        <f aca="false">Valuation!$B$10</f>
        <v>7.88183433878919</v>
      </c>
      <c r="C6" s="8" t="s">
        <v>9</v>
      </c>
    </row>
    <row r="7" customFormat="false" ht="15" hidden="false" customHeight="false" outlineLevel="0" collapsed="false">
      <c r="A7" s="6" t="s">
        <v>10</v>
      </c>
      <c r="B7" s="9" t="n">
        <f aca="false">Assumptions!$B$7</f>
        <v>7.43</v>
      </c>
      <c r="C7" s="8" t="s">
        <v>11</v>
      </c>
    </row>
    <row r="8" customFormat="false" ht="15" hidden="false" customHeight="false" outlineLevel="0" collapsed="false">
      <c r="A8" s="6" t="s">
        <v>12</v>
      </c>
      <c r="B8" s="10" t="n">
        <f aca="false">Valuation!$B$12</f>
        <v>0.0608121586526498</v>
      </c>
      <c r="C8" s="8"/>
    </row>
    <row r="9" customFormat="false" ht="15" hidden="false" customHeight="false" outlineLevel="0" collapsed="false">
      <c r="A9" s="6" t="s">
        <v>13</v>
      </c>
      <c r="B9" s="9" t="n">
        <f aca="false">Scenarios!E11</f>
        <v>8.47014493551604</v>
      </c>
      <c r="C9" s="8" t="s">
        <v>14</v>
      </c>
    </row>
    <row r="10" customFormat="false" ht="15" hidden="false" customHeight="false" outlineLevel="0" collapsed="false">
      <c r="A10" s="6" t="s">
        <v>15</v>
      </c>
      <c r="B10" s="7" t="s">
        <v>16</v>
      </c>
      <c r="C10" s="8" t="s">
        <v>17</v>
      </c>
    </row>
    <row r="11" customFormat="false" ht="15" hidden="false" customHeight="false" outlineLevel="0" collapsed="false">
      <c r="A11" s="6" t="s">
        <v>18</v>
      </c>
      <c r="B11" s="7" t="s">
        <v>19</v>
      </c>
      <c r="C11" s="8"/>
    </row>
    <row r="12" customFormat="false" ht="43.5" hidden="false" customHeight="true" outlineLevel="0" collapsed="false">
      <c r="A12" s="6" t="s">
        <v>20</v>
      </c>
      <c r="B12" s="7" t="s">
        <v>21</v>
      </c>
      <c r="C12" s="8" t="s">
        <v>22</v>
      </c>
    </row>
    <row r="13" customFormat="false" ht="31.5" hidden="false" customHeight="true" outlineLevel="0" collapsed="false">
      <c r="A13" s="6" t="s">
        <v>23</v>
      </c>
      <c r="B13" s="7" t="s">
        <v>21</v>
      </c>
      <c r="C13" s="8" t="s">
        <v>24</v>
      </c>
    </row>
    <row r="16" customFormat="false" ht="15" hidden="false" customHeight="false" outlineLevel="0" collapsed="false">
      <c r="A16" s="11" t="s">
        <v>25</v>
      </c>
    </row>
    <row r="17" customFormat="false" ht="15" hidden="false" customHeight="false" outlineLevel="0" collapsed="false">
      <c r="A17" s="1" t="s">
        <v>26</v>
      </c>
      <c r="B17" s="1" t="s">
        <v>27</v>
      </c>
    </row>
    <row r="18" customFormat="false" ht="15" hidden="false" customHeight="false" outlineLevel="0" collapsed="false">
      <c r="A18" s="1" t="s">
        <v>28</v>
      </c>
      <c r="B18" s="1" t="s">
        <v>29</v>
      </c>
    </row>
    <row r="19" customFormat="false" ht="15" hidden="false" customHeight="false" outlineLevel="0" collapsed="false">
      <c r="A19" s="1" t="s">
        <v>30</v>
      </c>
      <c r="B19" s="1" t="s">
        <v>31</v>
      </c>
    </row>
    <row r="20" customFormat="false" ht="15" hidden="false" customHeight="false" outlineLevel="0" collapsed="false">
      <c r="A20" s="1" t="s">
        <v>32</v>
      </c>
      <c r="B20" s="1" t="s">
        <v>33</v>
      </c>
    </row>
    <row r="21" customFormat="false" ht="15" hidden="false" customHeight="false" outlineLevel="0" collapsed="false">
      <c r="A21" s="1" t="s">
        <v>34</v>
      </c>
      <c r="B21" s="1" t="s">
        <v>35</v>
      </c>
    </row>
    <row r="22" customFormat="false" ht="15" hidden="false" customHeight="false" outlineLevel="0" collapsed="false">
      <c r="A22" s="1" t="s">
        <v>36</v>
      </c>
      <c r="B22" s="1" t="s">
        <v>37</v>
      </c>
    </row>
    <row r="23" customFormat="false" ht="15" hidden="false" customHeight="false" outlineLevel="0" collapsed="false">
      <c r="A23" s="1" t="s">
        <v>38</v>
      </c>
      <c r="B23" s="1" t="s">
        <v>39</v>
      </c>
    </row>
    <row r="24" customFormat="false" ht="15" hidden="false" customHeight="false" outlineLevel="0" collapsed="false">
      <c r="A24" s="1" t="s">
        <v>40</v>
      </c>
      <c r="B24" s="1" t="s">
        <v>41</v>
      </c>
    </row>
    <row r="26" customFormat="false" ht="15" hidden="false" customHeight="false" outlineLevel="0" collapsed="false">
      <c r="A26" s="12" t="s">
        <v>42</v>
      </c>
    </row>
    <row r="27" customFormat="false" ht="15" hidden="false" customHeight="false" outlineLevel="0" collapsed="false">
      <c r="A27" s="12"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2" min="2" style="1" width="14"/>
    <col collapsed="false" customWidth="true" hidden="false" outlineLevel="0" max="3" min="3" style="1" width="10"/>
    <col collapsed="false" customWidth="true" hidden="false" outlineLevel="0" max="4" min="4" style="1" width="100"/>
  </cols>
  <sheetData>
    <row r="1" customFormat="false" ht="15" hidden="false" customHeight="false" outlineLevel="0" collapsed="false">
      <c r="A1" s="2" t="s">
        <v>44</v>
      </c>
    </row>
    <row r="2" customFormat="false" ht="15" hidden="false" customHeight="false" outlineLevel="0" collapsed="false">
      <c r="A2" s="3" t="s">
        <v>1</v>
      </c>
    </row>
    <row r="3" customFormat="false" ht="15" hidden="false" customHeight="false" outlineLevel="0" collapsed="false">
      <c r="A3" s="12" t="s">
        <v>45</v>
      </c>
    </row>
    <row r="5" customFormat="false" ht="15" hidden="false" customHeight="false" outlineLevel="0" collapsed="false">
      <c r="A5" s="4" t="s">
        <v>46</v>
      </c>
      <c r="B5" s="5" t="s">
        <v>3</v>
      </c>
      <c r="C5" s="5" t="s">
        <v>47</v>
      </c>
      <c r="D5" s="5" t="s">
        <v>48</v>
      </c>
    </row>
    <row r="6" customFormat="false" ht="15" hidden="false" customHeight="false" outlineLevel="0" collapsed="false">
      <c r="A6" s="11" t="s">
        <v>49</v>
      </c>
    </row>
    <row r="7" customFormat="false" ht="15" hidden="false" customHeight="false" outlineLevel="0" collapsed="false">
      <c r="A7" s="1" t="s">
        <v>50</v>
      </c>
      <c r="B7" s="13" t="n">
        <v>7.43</v>
      </c>
      <c r="C7" s="1" t="s">
        <v>51</v>
      </c>
      <c r="D7" s="8" t="s">
        <v>52</v>
      </c>
    </row>
    <row r="8" customFormat="false" ht="15" hidden="false" customHeight="false" outlineLevel="0" collapsed="false">
      <c r="A8" s="1" t="s">
        <v>53</v>
      </c>
      <c r="B8" s="13" t="n">
        <v>32.23</v>
      </c>
      <c r="C8" s="1" t="s">
        <v>51</v>
      </c>
      <c r="D8" s="8" t="s">
        <v>54</v>
      </c>
    </row>
    <row r="9" customFormat="false" ht="15" hidden="false" customHeight="false" outlineLevel="0" collapsed="false">
      <c r="A9" s="1" t="s">
        <v>55</v>
      </c>
      <c r="B9" s="14" t="n">
        <v>143.163588</v>
      </c>
      <c r="C9" s="1" t="s">
        <v>56</v>
      </c>
      <c r="D9" s="8" t="s">
        <v>57</v>
      </c>
    </row>
    <row r="10" customFormat="false" ht="15" hidden="false" customHeight="false" outlineLevel="0" collapsed="false">
      <c r="A10" s="1" t="s">
        <v>58</v>
      </c>
      <c r="B10" s="14" t="n">
        <v>41.432781</v>
      </c>
      <c r="C10" s="1" t="s">
        <v>56</v>
      </c>
      <c r="D10" s="8" t="s">
        <v>59</v>
      </c>
    </row>
    <row r="11" customFormat="false" ht="15" hidden="false" customHeight="false" outlineLevel="0" collapsed="false">
      <c r="A11" s="1" t="s">
        <v>60</v>
      </c>
      <c r="B11" s="15" t="n">
        <v>364.958</v>
      </c>
      <c r="C11" s="1" t="s">
        <v>61</v>
      </c>
      <c r="D11" s="8" t="s">
        <v>62</v>
      </c>
    </row>
    <row r="12" customFormat="false" ht="15" hidden="false" customHeight="false" outlineLevel="0" collapsed="false">
      <c r="A12" s="1" t="s">
        <v>63</v>
      </c>
      <c r="B12" s="15" t="n">
        <v>400</v>
      </c>
      <c r="C12" s="1" t="s">
        <v>61</v>
      </c>
      <c r="D12" s="8" t="s">
        <v>64</v>
      </c>
    </row>
    <row r="13" customFormat="false" ht="23.85" hidden="false" customHeight="false" outlineLevel="0" collapsed="false">
      <c r="A13" s="1" t="s">
        <v>65</v>
      </c>
      <c r="B13" s="16" t="n">
        <v>130</v>
      </c>
      <c r="C13" s="1" t="s">
        <v>61</v>
      </c>
      <c r="D13" s="8" t="s">
        <v>66</v>
      </c>
    </row>
    <row r="14" customFormat="false" ht="15" hidden="false" customHeight="false" outlineLevel="0" collapsed="false">
      <c r="A14" s="1" t="s">
        <v>67</v>
      </c>
      <c r="B14" s="15" t="n">
        <v>-299.026</v>
      </c>
      <c r="C14" s="1" t="s">
        <v>61</v>
      </c>
      <c r="D14" s="8" t="s">
        <v>68</v>
      </c>
    </row>
    <row r="15" customFormat="false" ht="15" hidden="false" customHeight="false" outlineLevel="0" collapsed="false">
      <c r="A15" s="1" t="s">
        <v>69</v>
      </c>
      <c r="B15" s="15" t="n">
        <v>-431.93</v>
      </c>
      <c r="C15" s="1" t="s">
        <v>61</v>
      </c>
      <c r="D15" s="8" t="s">
        <v>70</v>
      </c>
    </row>
    <row r="16" customFormat="false" ht="15" hidden="false" customHeight="false" outlineLevel="0" collapsed="false">
      <c r="A16" s="1" t="s">
        <v>71</v>
      </c>
      <c r="B16" s="15" t="n">
        <v>3250</v>
      </c>
      <c r="C16" s="1" t="s">
        <v>61</v>
      </c>
      <c r="D16" s="8" t="s">
        <v>70</v>
      </c>
    </row>
    <row r="17" customFormat="false" ht="15" hidden="false" customHeight="false" outlineLevel="0" collapsed="false">
      <c r="A17" s="1" t="s">
        <v>72</v>
      </c>
      <c r="B17" s="13" t="n">
        <v>10</v>
      </c>
      <c r="C17" s="1" t="s">
        <v>51</v>
      </c>
      <c r="D17" s="8" t="s">
        <v>73</v>
      </c>
    </row>
    <row r="18" customFormat="false" ht="15" hidden="false" customHeight="false" outlineLevel="0" collapsed="false">
      <c r="A18" s="11" t="s">
        <v>74</v>
      </c>
    </row>
    <row r="19" customFormat="false" ht="15" hidden="false" customHeight="false" outlineLevel="0" collapsed="false">
      <c r="A19" s="1" t="s">
        <v>75</v>
      </c>
      <c r="B19" s="15" t="n">
        <v>2698.562</v>
      </c>
      <c r="C19" s="1" t="s">
        <v>61</v>
      </c>
      <c r="D19" s="8" t="s">
        <v>76</v>
      </c>
    </row>
    <row r="20" customFormat="false" ht="15" hidden="false" customHeight="false" outlineLevel="0" collapsed="false">
      <c r="A20" s="1" t="s">
        <v>77</v>
      </c>
      <c r="B20" s="15" t="n">
        <v>2262.83</v>
      </c>
      <c r="C20" s="1" t="s">
        <v>61</v>
      </c>
      <c r="D20" s="8" t="s">
        <v>78</v>
      </c>
    </row>
    <row r="21" customFormat="false" ht="15" hidden="false" customHeight="false" outlineLevel="0" collapsed="false">
      <c r="A21" s="1" t="s">
        <v>79</v>
      </c>
      <c r="B21" s="15" t="n">
        <v>347.856</v>
      </c>
      <c r="C21" s="1" t="s">
        <v>61</v>
      </c>
      <c r="D21" s="8" t="s">
        <v>80</v>
      </c>
    </row>
    <row r="22" customFormat="false" ht="15" hidden="false" customHeight="false" outlineLevel="0" collapsed="false">
      <c r="A22" s="1" t="s">
        <v>81</v>
      </c>
      <c r="B22" s="15" t="n">
        <v>309.538</v>
      </c>
      <c r="C22" s="1" t="s">
        <v>61</v>
      </c>
      <c r="D22" s="8" t="s">
        <v>78</v>
      </c>
    </row>
    <row r="23" customFormat="false" ht="15" hidden="false" customHeight="false" outlineLevel="0" collapsed="false">
      <c r="A23" s="1" t="s">
        <v>82</v>
      </c>
      <c r="B23" s="15" t="n">
        <v>78.106</v>
      </c>
      <c r="C23" s="1" t="s">
        <v>61</v>
      </c>
      <c r="D23" s="8" t="s">
        <v>78</v>
      </c>
    </row>
    <row r="24" customFormat="false" ht="15" hidden="false" customHeight="false" outlineLevel="0" collapsed="false">
      <c r="A24" s="1" t="s">
        <v>83</v>
      </c>
      <c r="B24" s="15" t="n">
        <v>19.455</v>
      </c>
      <c r="C24" s="1" t="s">
        <v>61</v>
      </c>
      <c r="D24" s="8" t="s">
        <v>78</v>
      </c>
    </row>
    <row r="25" customFormat="false" ht="15" hidden="false" customHeight="false" outlineLevel="0" collapsed="false">
      <c r="A25" s="1" t="s">
        <v>84</v>
      </c>
      <c r="B25" s="15" t="n">
        <v>71.57</v>
      </c>
      <c r="C25" s="1" t="s">
        <v>61</v>
      </c>
      <c r="D25" s="8" t="s">
        <v>78</v>
      </c>
    </row>
    <row r="26" customFormat="false" ht="15" hidden="false" customHeight="false" outlineLevel="0" collapsed="false">
      <c r="A26" s="1" t="s">
        <v>85</v>
      </c>
      <c r="B26" s="15" t="n">
        <v>-160.422</v>
      </c>
      <c r="C26" s="1" t="s">
        <v>61</v>
      </c>
      <c r="D26" s="8" t="s">
        <v>78</v>
      </c>
    </row>
    <row r="27" customFormat="false" ht="15" hidden="false" customHeight="false" outlineLevel="0" collapsed="false">
      <c r="A27" s="11" t="s">
        <v>86</v>
      </c>
    </row>
    <row r="28" customFormat="false" ht="15" hidden="false" customHeight="false" outlineLevel="0" collapsed="false">
      <c r="A28" s="1" t="s">
        <v>87</v>
      </c>
      <c r="B28" s="15" t="n">
        <v>2400</v>
      </c>
      <c r="C28" s="1" t="s">
        <v>61</v>
      </c>
      <c r="D28" s="8" t="s">
        <v>88</v>
      </c>
    </row>
    <row r="29" customFormat="false" ht="15" hidden="false" customHeight="false" outlineLevel="0" collapsed="false">
      <c r="A29" s="1" t="s">
        <v>89</v>
      </c>
      <c r="B29" s="15" t="n">
        <v>-200</v>
      </c>
      <c r="C29" s="1" t="s">
        <v>61</v>
      </c>
      <c r="D29" s="8" t="s">
        <v>90</v>
      </c>
    </row>
    <row r="30" customFormat="false" ht="15" hidden="false" customHeight="false" outlineLevel="0" collapsed="false">
      <c r="A30" s="1" t="s">
        <v>91</v>
      </c>
      <c r="B30" s="15" t="n">
        <v>3400</v>
      </c>
      <c r="C30" s="1" t="s">
        <v>61</v>
      </c>
      <c r="D30" s="8" t="s">
        <v>92</v>
      </c>
    </row>
    <row r="31" customFormat="false" ht="15" hidden="false" customHeight="false" outlineLevel="0" collapsed="false">
      <c r="A31" s="11" t="s">
        <v>93</v>
      </c>
    </row>
    <row r="32" customFormat="false" ht="23.85" hidden="false" customHeight="false" outlineLevel="0" collapsed="false">
      <c r="A32" s="1" t="s">
        <v>94</v>
      </c>
      <c r="B32" s="17" t="n">
        <v>0.25</v>
      </c>
      <c r="C32" s="1" t="s">
        <v>95</v>
      </c>
      <c r="D32" s="8" t="s">
        <v>96</v>
      </c>
    </row>
    <row r="33" customFormat="false" ht="15" hidden="false" customHeight="false" outlineLevel="0" collapsed="false">
      <c r="A33" s="1" t="s">
        <v>97</v>
      </c>
      <c r="B33" s="17" t="n">
        <v>0.2</v>
      </c>
      <c r="C33" s="1" t="s">
        <v>95</v>
      </c>
      <c r="D33" s="8" t="s">
        <v>98</v>
      </c>
    </row>
    <row r="34" customFormat="false" ht="15" hidden="false" customHeight="false" outlineLevel="0" collapsed="false">
      <c r="A34" s="1" t="s">
        <v>99</v>
      </c>
      <c r="B34" s="17" t="n">
        <v>0.105</v>
      </c>
      <c r="C34" s="1" t="s">
        <v>95</v>
      </c>
      <c r="D34" s="8" t="s">
        <v>100</v>
      </c>
    </row>
    <row r="35" customFormat="false" ht="15" hidden="false" customHeight="false" outlineLevel="0" collapsed="false">
      <c r="A35" s="1" t="s">
        <v>101</v>
      </c>
      <c r="B35" s="17" t="n">
        <v>0.13</v>
      </c>
      <c r="C35" s="1" t="s">
        <v>95</v>
      </c>
      <c r="D35" s="8" t="s">
        <v>102</v>
      </c>
    </row>
    <row r="36" customFormat="false" ht="15" hidden="false" customHeight="false" outlineLevel="0" collapsed="false">
      <c r="A36" s="1" t="s">
        <v>103</v>
      </c>
      <c r="B36" s="16" t="n">
        <v>295</v>
      </c>
      <c r="C36" s="1" t="s">
        <v>61</v>
      </c>
      <c r="D36" s="8" t="s">
        <v>104</v>
      </c>
    </row>
    <row r="37" customFormat="false" ht="15" hidden="false" customHeight="false" outlineLevel="0" collapsed="false">
      <c r="A37" s="1" t="s">
        <v>105</v>
      </c>
      <c r="B37" s="16" t="n">
        <v>320</v>
      </c>
      <c r="C37" s="1" t="s">
        <v>61</v>
      </c>
      <c r="D37" s="8" t="s">
        <v>106</v>
      </c>
    </row>
    <row r="38" customFormat="false" ht="15" hidden="false" customHeight="false" outlineLevel="0" collapsed="false">
      <c r="A38" s="1" t="s">
        <v>107</v>
      </c>
      <c r="B38" s="18" t="n">
        <v>0.45</v>
      </c>
      <c r="C38" s="1" t="s">
        <v>108</v>
      </c>
      <c r="D38" s="8"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48"/>
    <col collapsed="false" customWidth="true" hidden="false" outlineLevel="0" max="6" min="2" style="1" width="13"/>
  </cols>
  <sheetData>
    <row r="1" customFormat="false" ht="15" hidden="false" customHeight="false" outlineLevel="0" collapsed="false">
      <c r="A1" s="2" t="s">
        <v>110</v>
      </c>
    </row>
    <row r="2" customFormat="false" ht="15" hidden="false" customHeight="false" outlineLevel="0" collapsed="false">
      <c r="A2" s="3" t="s">
        <v>1</v>
      </c>
    </row>
    <row r="4" customFormat="false" ht="15" hidden="false" customHeight="false" outlineLevel="0" collapsed="false">
      <c r="A4" s="4"/>
      <c r="B4" s="5" t="s">
        <v>111</v>
      </c>
      <c r="C4" s="5" t="s">
        <v>112</v>
      </c>
      <c r="D4" s="5" t="s">
        <v>113</v>
      </c>
      <c r="E4" s="5" t="s">
        <v>114</v>
      </c>
      <c r="F4" s="5" t="s">
        <v>115</v>
      </c>
    </row>
    <row r="5" customFormat="false" ht="15" hidden="false" customHeight="false" outlineLevel="0" collapsed="false">
      <c r="A5" s="6" t="s">
        <v>116</v>
      </c>
      <c r="B5" s="19" t="n">
        <f aca="false">Assumptions!$B$19</f>
        <v>2698.562</v>
      </c>
      <c r="C5" s="19" t="n">
        <f aca="false">Assumptions!$B$20</f>
        <v>2262.83</v>
      </c>
      <c r="D5" s="19" t="n">
        <f aca="false">Assumptions!$B$28</f>
        <v>2400</v>
      </c>
      <c r="E5" s="20" t="n">
        <f aca="false">D5*(1+Assumptions!$B$32)</f>
        <v>3000</v>
      </c>
      <c r="F5" s="20" t="n">
        <f aca="false">E5*(1+Assumptions!$B$33)</f>
        <v>3600</v>
      </c>
    </row>
    <row r="6" customFormat="false" ht="15" hidden="false" customHeight="false" outlineLevel="0" collapsed="false">
      <c r="A6" s="21" t="s">
        <v>117</v>
      </c>
      <c r="B6" s="22"/>
      <c r="C6" s="22" t="n">
        <f aca="false">C5/B5-1</f>
        <v>-0.161468218999601</v>
      </c>
      <c r="D6" s="22" t="n">
        <f aca="false">D5/C5-1</f>
        <v>0.0606187826747922</v>
      </c>
      <c r="E6" s="22" t="n">
        <f aca="false">E5/D5-1</f>
        <v>0.25</v>
      </c>
      <c r="F6" s="22" t="n">
        <f aca="false">F5/E5-1</f>
        <v>0.2</v>
      </c>
    </row>
    <row r="7" customFormat="false" ht="15" hidden="false" customHeight="false" outlineLevel="0" collapsed="false">
      <c r="A7" s="21" t="s">
        <v>118</v>
      </c>
      <c r="B7" s="22" t="n">
        <f aca="false">B8/B5</f>
        <v>0.128904208982414</v>
      </c>
      <c r="C7" s="22" t="n">
        <f aca="false">C8/C5</f>
        <v>0.136792423646496</v>
      </c>
      <c r="D7" s="22"/>
      <c r="E7" s="10" t="n">
        <f aca="false">Assumptions!$B$34</f>
        <v>0.105</v>
      </c>
      <c r="F7" s="10" t="n">
        <f aca="false">Assumptions!$B$35</f>
        <v>0.13</v>
      </c>
    </row>
    <row r="8" customFormat="false" ht="15" hidden="false" customHeight="false" outlineLevel="0" collapsed="false">
      <c r="A8" s="21" t="s">
        <v>119</v>
      </c>
      <c r="B8" s="19" t="n">
        <f aca="false">Assumptions!$B$21</f>
        <v>347.856</v>
      </c>
      <c r="C8" s="19" t="n">
        <f aca="false">Assumptions!$B$22</f>
        <v>309.538</v>
      </c>
      <c r="D8" s="20"/>
      <c r="E8" s="20" t="n">
        <f aca="false">E5*E7</f>
        <v>315</v>
      </c>
      <c r="F8" s="20" t="n">
        <f aca="false">F5*F7</f>
        <v>468</v>
      </c>
    </row>
    <row r="9" customFormat="false" ht="15" hidden="false" customHeight="false" outlineLevel="0" collapsed="false">
      <c r="A9" s="21" t="s">
        <v>120</v>
      </c>
      <c r="B9" s="20" t="n">
        <f aca="false">B8-B10</f>
        <v>269.75</v>
      </c>
      <c r="C9" s="20" t="n">
        <f aca="false">C8-C10</f>
        <v>290.083</v>
      </c>
      <c r="D9" s="20"/>
      <c r="E9" s="19" t="n">
        <f aca="false">Assumptions!$B$36</f>
        <v>295</v>
      </c>
      <c r="F9" s="19" t="n">
        <f aca="false">Assumptions!$B$37</f>
        <v>320</v>
      </c>
    </row>
    <row r="10" customFormat="false" ht="15" hidden="false" customHeight="false" outlineLevel="0" collapsed="false">
      <c r="A10" s="6" t="s">
        <v>121</v>
      </c>
      <c r="B10" s="19" t="n">
        <f aca="false">Assumptions!$B$23</f>
        <v>78.106</v>
      </c>
      <c r="C10" s="19" t="n">
        <f aca="false">Assumptions!$B$24</f>
        <v>19.455</v>
      </c>
      <c r="D10" s="19" t="n">
        <f aca="false">Assumptions!$B$29</f>
        <v>-200</v>
      </c>
      <c r="E10" s="20" t="n">
        <f aca="false">E8-E9</f>
        <v>20</v>
      </c>
      <c r="F10" s="20" t="n">
        <f aca="false">F8-F9</f>
        <v>148</v>
      </c>
    </row>
    <row r="11" customFormat="false" ht="15" hidden="false" customHeight="false" outlineLevel="0" collapsed="false">
      <c r="A11" s="21" t="s">
        <v>122</v>
      </c>
      <c r="B11" s="22" t="n">
        <f aca="false">B10/B5</f>
        <v>0.0289435632755519</v>
      </c>
      <c r="C11" s="22" t="n">
        <f aca="false">C10/C5</f>
        <v>0.00859764100705753</v>
      </c>
      <c r="D11" s="22" t="n">
        <f aca="false">D10/D5</f>
        <v>-0.0833333333333333</v>
      </c>
      <c r="E11" s="22" t="n">
        <f aca="false">E10/E5</f>
        <v>0.00666666666666667</v>
      </c>
      <c r="F11" s="22" t="n">
        <f aca="false">F10/F5</f>
        <v>0.0411111111111111</v>
      </c>
    </row>
    <row r="12" customFormat="false" ht="15" hidden="false" customHeight="false" outlineLevel="0" collapsed="false">
      <c r="A12" s="21" t="s">
        <v>123</v>
      </c>
      <c r="B12" s="19" t="n">
        <f aca="false">Assumptions!$B$25</f>
        <v>71.57</v>
      </c>
      <c r="C12" s="19" t="n">
        <f aca="false">Assumptions!$B$26</f>
        <v>-160.422</v>
      </c>
      <c r="D12" s="20"/>
      <c r="E12" s="20"/>
      <c r="F12" s="20"/>
    </row>
    <row r="13" customFormat="false" ht="15" hidden="false" customHeight="false" outlineLevel="0" collapsed="false">
      <c r="A13" s="21" t="s">
        <v>124</v>
      </c>
      <c r="B13" s="23"/>
      <c r="C13" s="23"/>
      <c r="D13" s="23" t="n">
        <f aca="false">Valuation!$B$16/D5</f>
        <v>0.6402470923625</v>
      </c>
      <c r="E13" s="23" t="n">
        <f aca="false">Valuation!$B$16/E5</f>
        <v>0.51219767389</v>
      </c>
      <c r="F13" s="23" t="n">
        <f aca="false">Valuation!$B$16/F5</f>
        <v>0.426831394908333</v>
      </c>
    </row>
    <row r="14" customFormat="false" ht="15" hidden="false" customHeight="false" outlineLevel="0" collapsed="false">
      <c r="A14" s="21" t="s">
        <v>125</v>
      </c>
      <c r="B14" s="24"/>
      <c r="C14" s="24"/>
      <c r="D14" s="24"/>
      <c r="E14" s="24" t="n">
        <f aca="false">Valuation!$B$16/E10</f>
        <v>76.8296510835</v>
      </c>
      <c r="F14" s="24" t="n">
        <f aca="false">Valuation!$B$16/F10</f>
        <v>10.3823852815541</v>
      </c>
    </row>
    <row r="17" customFormat="false" ht="15" hidden="false" customHeight="false" outlineLevel="0" collapsed="false">
      <c r="A17" s="12" t="s">
        <v>126</v>
      </c>
    </row>
    <row r="18" customFormat="false" ht="15" hidden="false" customHeight="false" outlineLevel="0" collapsed="false">
      <c r="A18" s="12" t="s">
        <v>127</v>
      </c>
    </row>
    <row r="19" customFormat="false" ht="15" hidden="false" customHeight="false" outlineLevel="0" collapsed="false">
      <c r="A19" s="12"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0"/>
    <col collapsed="false" customWidth="true" hidden="false" outlineLevel="0" max="2" min="2" style="1" width="16"/>
    <col collapsed="false" customWidth="true" hidden="false" outlineLevel="0" max="3" min="3" style="1" width="76"/>
  </cols>
  <sheetData>
    <row r="1" customFormat="false" ht="15" hidden="false" customHeight="false" outlineLevel="0" collapsed="false">
      <c r="A1" s="2" t="s">
        <v>129</v>
      </c>
    </row>
    <row r="2" customFormat="false" ht="15" hidden="false" customHeight="false" outlineLevel="0" collapsed="false">
      <c r="A2" s="3" t="s">
        <v>1</v>
      </c>
    </row>
    <row r="4" customFormat="false" ht="15" hidden="false" customHeight="false" outlineLevel="0" collapsed="false">
      <c r="A4" s="4" t="s">
        <v>130</v>
      </c>
      <c r="B4" s="5" t="s">
        <v>3</v>
      </c>
      <c r="C4" s="5" t="s">
        <v>131</v>
      </c>
    </row>
    <row r="5" customFormat="false" ht="15" hidden="false" customHeight="false" outlineLevel="0" collapsed="false">
      <c r="A5" s="1" t="s">
        <v>132</v>
      </c>
      <c r="B5" s="25" t="n">
        <f aca="false">Financials!F5</f>
        <v>3600</v>
      </c>
      <c r="C5" s="8" t="s">
        <v>133</v>
      </c>
    </row>
    <row r="6" customFormat="false" ht="15" hidden="false" customHeight="false" outlineLevel="0" collapsed="false">
      <c r="A6" s="1" t="s">
        <v>134</v>
      </c>
      <c r="B6" s="26" t="n">
        <f aca="false">Assumptions!$B$38</f>
        <v>0.45</v>
      </c>
      <c r="C6" s="8" t="s">
        <v>135</v>
      </c>
    </row>
    <row r="7" customFormat="false" ht="15" hidden="false" customHeight="false" outlineLevel="0" collapsed="false">
      <c r="A7" s="1" t="s">
        <v>136</v>
      </c>
      <c r="B7" s="25" t="n">
        <f aca="false">B5*B6</f>
        <v>1620</v>
      </c>
      <c r="C7" s="8" t="s">
        <v>137</v>
      </c>
    </row>
    <row r="8" customFormat="false" ht="23.85" hidden="false" customHeight="false" outlineLevel="0" collapsed="false">
      <c r="A8" s="1" t="s">
        <v>138</v>
      </c>
      <c r="B8" s="25" t="n">
        <f aca="false">Assumptions!$B$12-Assumptions!$B$11+Assumptions!$B$13</f>
        <v>165.042</v>
      </c>
      <c r="C8" s="8" t="s">
        <v>139</v>
      </c>
    </row>
    <row r="9" customFormat="false" ht="15" hidden="false" customHeight="false" outlineLevel="0" collapsed="false">
      <c r="A9" s="1" t="s">
        <v>140</v>
      </c>
      <c r="B9" s="27" t="n">
        <f aca="false">Assumptions!$B$9+Assumptions!$B$10</f>
        <v>184.596369</v>
      </c>
      <c r="C9" s="8" t="s">
        <v>141</v>
      </c>
    </row>
    <row r="10" customFormat="false" ht="15" hidden="false" customHeight="false" outlineLevel="0" collapsed="false">
      <c r="A10" s="6" t="s">
        <v>142</v>
      </c>
      <c r="B10" s="28" t="n">
        <f aca="false">(B7-B8)/B9</f>
        <v>7.88183433878919</v>
      </c>
      <c r="C10" s="8" t="s">
        <v>143</v>
      </c>
    </row>
    <row r="11" customFormat="false" ht="15" hidden="false" customHeight="false" outlineLevel="0" collapsed="false">
      <c r="A11" s="1" t="s">
        <v>10</v>
      </c>
      <c r="B11" s="29" t="n">
        <f aca="false">Assumptions!$B$7</f>
        <v>7.43</v>
      </c>
      <c r="C11" s="8" t="s">
        <v>11</v>
      </c>
    </row>
    <row r="12" customFormat="false" ht="15" hidden="false" customHeight="false" outlineLevel="0" collapsed="false">
      <c r="A12" s="1" t="s">
        <v>12</v>
      </c>
      <c r="B12" s="30" t="n">
        <f aca="false">B10/B11-1</f>
        <v>0.0608121586526498</v>
      </c>
      <c r="C12" s="8" t="s">
        <v>144</v>
      </c>
    </row>
    <row r="13" customFormat="false" ht="15" hidden="false" customHeight="false" outlineLevel="0" collapsed="false">
      <c r="A13" s="6" t="s">
        <v>145</v>
      </c>
      <c r="B13" s="31" t="str">
        <f aca="false">IF(B12&gt;=0.15,"LONG",IF(B12&lt;=-0.25,"SHORT","NO CALL"))</f>
        <v>NO CALL</v>
      </c>
      <c r="C13" s="8" t="s">
        <v>146</v>
      </c>
    </row>
    <row r="14" customFormat="false" ht="15" hidden="false" customHeight="false" outlineLevel="0" collapsed="false">
      <c r="C14" s="8"/>
    </row>
    <row r="15" customFormat="false" ht="15" hidden="false" customHeight="false" outlineLevel="0" collapsed="false">
      <c r="A15" s="1" t="s">
        <v>147</v>
      </c>
      <c r="B15" s="25" t="n">
        <f aca="false">B9*B11</f>
        <v>1371.55102167</v>
      </c>
      <c r="C15" s="8" t="s">
        <v>148</v>
      </c>
    </row>
    <row r="16" customFormat="false" ht="15" hidden="false" customHeight="false" outlineLevel="0" collapsed="false">
      <c r="A16" s="1" t="s">
        <v>149</v>
      </c>
      <c r="B16" s="25" t="n">
        <f aca="false">B15+B8</f>
        <v>1536.59302167</v>
      </c>
      <c r="C16" s="8" t="s">
        <v>150</v>
      </c>
    </row>
    <row r="17" customFormat="false" ht="15" hidden="false" customHeight="false" outlineLevel="0" collapsed="false">
      <c r="A17" s="1" t="s">
        <v>151</v>
      </c>
      <c r="B17" s="25" t="n">
        <f aca="false">B16/B6</f>
        <v>3414.65115926667</v>
      </c>
      <c r="C17" s="8" t="s">
        <v>152</v>
      </c>
    </row>
    <row r="18" customFormat="false" ht="15" hidden="false" customHeight="false" outlineLevel="0" collapsed="false">
      <c r="A18" s="1" t="s">
        <v>153</v>
      </c>
      <c r="B18" s="30" t="n">
        <f aca="false">B17/B5</f>
        <v>0.948514210907407</v>
      </c>
      <c r="C18" s="8"/>
    </row>
    <row r="19" customFormat="false" ht="15" hidden="false" customHeight="false" outlineLevel="0" collapsed="false">
      <c r="A19" s="1" t="s">
        <v>154</v>
      </c>
      <c r="B19" s="32" t="n">
        <f aca="false">B16/Financials!D5</f>
        <v>0.6402470923625</v>
      </c>
      <c r="C19" s="8"/>
    </row>
    <row r="20" customFormat="false" ht="15" hidden="false" customHeight="false" outlineLevel="0" collapsed="false">
      <c r="A20" s="1" t="s">
        <v>155</v>
      </c>
      <c r="B20" s="32" t="n">
        <f aca="false">B16/Assumptions!$B$16</f>
        <v>0.472797852821538</v>
      </c>
      <c r="C20" s="8" t="s">
        <v>156</v>
      </c>
    </row>
    <row r="21" customFormat="false" ht="15" hidden="false" customHeight="false" outlineLevel="0" collapsed="false">
      <c r="A21" s="1" t="s">
        <v>157</v>
      </c>
      <c r="B21" s="32" t="n">
        <f aca="false">B16/B5</f>
        <v>0.426831394908333</v>
      </c>
      <c r="C21" s="8"/>
    </row>
    <row r="22" customFormat="false" ht="15" hidden="false" customHeight="false" outlineLevel="0" collapsed="false">
      <c r="A22" s="1" t="s">
        <v>158</v>
      </c>
      <c r="B22" s="33" t="n">
        <f aca="false">B16/Financials!F10</f>
        <v>10.3823852815541</v>
      </c>
      <c r="C22" s="8"/>
    </row>
    <row r="23" customFormat="false" ht="15" hidden="false" customHeight="false" outlineLevel="0" collapsed="false">
      <c r="A23" s="1" t="s">
        <v>159</v>
      </c>
      <c r="B23" s="33" t="n">
        <f aca="false">B7/Financials!F10</f>
        <v>10.9459459459459</v>
      </c>
      <c r="C23" s="8" t="s">
        <v>160</v>
      </c>
    </row>
    <row r="24" customFormat="false" ht="15" hidden="false" customHeight="false" outlineLevel="0" collapsed="false">
      <c r="A24" s="1" t="s">
        <v>161</v>
      </c>
      <c r="B24" s="34" t="n">
        <f aca="false">B10/1.15</f>
        <v>6.85376899025147</v>
      </c>
      <c r="C24" s="8" t="s">
        <v>162</v>
      </c>
    </row>
    <row r="25" customFormat="false" ht="15" hidden="false" customHeight="false" outlineLevel="0" collapsed="false">
      <c r="A25" s="1" t="s">
        <v>163</v>
      </c>
      <c r="B25" s="34" t="n">
        <f aca="false">B10/0.75</f>
        <v>10.5091124517189</v>
      </c>
      <c r="C25" s="8" t="s">
        <v>164</v>
      </c>
    </row>
    <row r="26" customFormat="false" ht="15" hidden="false" customHeight="false" outlineLevel="0" collapsed="false">
      <c r="A26" s="1" t="s">
        <v>165</v>
      </c>
      <c r="B26" s="30" t="n">
        <f aca="false">B11/Assumptions!$B$8-1</f>
        <v>-0.769469438411418</v>
      </c>
      <c r="C26" s="8" t="s">
        <v>166</v>
      </c>
    </row>
    <row r="27" customFormat="false" ht="15" hidden="false" customHeight="false" outlineLevel="0" collapsed="false">
      <c r="A27" s="1" t="s">
        <v>167</v>
      </c>
      <c r="B27" s="25" t="n">
        <f aca="false">Assumptions!$B$12-Assumptions!$B$11</f>
        <v>35.042</v>
      </c>
      <c r="C27" s="8" t="s">
        <v>168</v>
      </c>
    </row>
    <row r="28" customFormat="false" ht="15" hidden="false" customHeight="false" outlineLevel="0" collapsed="false">
      <c r="A28" s="1" t="s">
        <v>169</v>
      </c>
      <c r="B28" s="25" t="n">
        <f aca="false">Assumptions!$B$15-Assumptions!$B$14</f>
        <v>-132.904</v>
      </c>
      <c r="C28" s="8" t="s">
        <v>170</v>
      </c>
    </row>
    <row r="29" customFormat="false" ht="15" hidden="false" customHeight="false" outlineLevel="0" collapsed="false">
      <c r="A29" s="1" t="s">
        <v>171</v>
      </c>
      <c r="B29" s="30" t="n">
        <f aca="false">Financials!D5/Assumptions!$B$30-1</f>
        <v>-0.294117647058824</v>
      </c>
      <c r="C29"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3" min="2" style="1" width="11"/>
    <col collapsed="false" customWidth="true" hidden="false" outlineLevel="0" max="4" min="4" style="1" width="13"/>
    <col collapsed="false" customWidth="true" hidden="false" outlineLevel="0" max="5" min="5" style="1" width="11"/>
    <col collapsed="false" customWidth="true" hidden="false" outlineLevel="0" max="10" min="6" style="1" width="12"/>
    <col collapsed="false" customWidth="true" hidden="false" outlineLevel="0" max="11" min="11" style="1" width="10"/>
  </cols>
  <sheetData>
    <row r="1" customFormat="false" ht="15" hidden="false" customHeight="false" outlineLevel="0" collapsed="false">
      <c r="A1" s="2" t="s">
        <v>172</v>
      </c>
    </row>
    <row r="2" customFormat="false" ht="15" hidden="false" customHeight="false" outlineLevel="0" collapsed="false">
      <c r="A2" s="3" t="s">
        <v>1</v>
      </c>
    </row>
    <row r="4" customFormat="false" ht="23.85" hidden="false" customHeight="false" outlineLevel="0" collapsed="false">
      <c r="A4" s="4" t="s">
        <v>173</v>
      </c>
      <c r="B4" s="5" t="s">
        <v>174</v>
      </c>
      <c r="C4" s="5" t="s">
        <v>175</v>
      </c>
      <c r="D4" s="5" t="s">
        <v>176</v>
      </c>
      <c r="E4" s="5" t="s">
        <v>177</v>
      </c>
      <c r="F4" s="5" t="s">
        <v>178</v>
      </c>
      <c r="G4" s="5" t="s">
        <v>179</v>
      </c>
      <c r="H4" s="5" t="s">
        <v>180</v>
      </c>
      <c r="I4" s="5" t="s">
        <v>181</v>
      </c>
      <c r="J4" s="5" t="s">
        <v>182</v>
      </c>
      <c r="K4" s="5" t="s">
        <v>183</v>
      </c>
    </row>
    <row r="5" customFormat="false" ht="15" hidden="false" customHeight="false" outlineLevel="0" collapsed="false">
      <c r="A5" s="6" t="s">
        <v>184</v>
      </c>
      <c r="B5" s="17" t="n">
        <v>0.1</v>
      </c>
      <c r="C5" s="17" t="n">
        <v>0.1</v>
      </c>
      <c r="D5" s="17" t="n">
        <v>0.12</v>
      </c>
      <c r="E5" s="18" t="n">
        <v>0.25</v>
      </c>
      <c r="F5" s="25" t="n">
        <f aca="false">Financials!$D$5*(1+B5)</f>
        <v>2640</v>
      </c>
      <c r="G5" s="25" t="n">
        <f aca="false">F5*(1+C5)</f>
        <v>2904</v>
      </c>
      <c r="H5" s="25" t="n">
        <f aca="false">G5*D5-Assumptions!$B$37</f>
        <v>28.48</v>
      </c>
      <c r="I5" s="33" t="n">
        <f aca="false">G5*E5/H5</f>
        <v>25.4915730337079</v>
      </c>
      <c r="J5" s="34" t="n">
        <f aca="false">(G5*E5-Valuation!$B$8)/Valuation!$B$9</f>
        <v>3.03883550385544</v>
      </c>
      <c r="K5" s="35" t="n">
        <f aca="false">J5/Assumptions!$B$7-1</f>
        <v>-0.591004642818918</v>
      </c>
    </row>
    <row r="6" customFormat="false" ht="15" hidden="false" customHeight="false" outlineLevel="0" collapsed="false">
      <c r="A6" s="6" t="s">
        <v>185</v>
      </c>
      <c r="B6" s="36" t="n">
        <f aca="false">Assumptions!$B$32</f>
        <v>0.25</v>
      </c>
      <c r="C6" s="36" t="n">
        <f aca="false">Assumptions!$B$33</f>
        <v>0.2</v>
      </c>
      <c r="D6" s="36" t="n">
        <f aca="false">Assumptions!$B$35</f>
        <v>0.13</v>
      </c>
      <c r="E6" s="26" t="n">
        <f aca="false">Assumptions!$B$38</f>
        <v>0.45</v>
      </c>
      <c r="F6" s="25" t="n">
        <f aca="false">Financials!$D$5*(1+B6)</f>
        <v>3000</v>
      </c>
      <c r="G6" s="25" t="n">
        <f aca="false">F6*(1+C6)</f>
        <v>3600</v>
      </c>
      <c r="H6" s="25" t="n">
        <f aca="false">G6*D6-Assumptions!$B$37</f>
        <v>148</v>
      </c>
      <c r="I6" s="33" t="n">
        <f aca="false">G6*E6/H6</f>
        <v>10.9459459459459</v>
      </c>
      <c r="J6" s="34" t="n">
        <f aca="false">(G6*E6-Valuation!$B$8)/Valuation!$B$9</f>
        <v>7.88183433878919</v>
      </c>
      <c r="K6" s="35" t="n">
        <f aca="false">J6/Assumptions!$B$7-1</f>
        <v>0.0608121586526498</v>
      </c>
    </row>
    <row r="7" customFormat="false" ht="15" hidden="false" customHeight="false" outlineLevel="0" collapsed="false">
      <c r="A7" s="6" t="s">
        <v>186</v>
      </c>
      <c r="B7" s="17" t="n">
        <v>0.35</v>
      </c>
      <c r="C7" s="17" t="n">
        <v>0.3</v>
      </c>
      <c r="D7" s="17" t="n">
        <v>0.145</v>
      </c>
      <c r="E7" s="18" t="n">
        <v>0.7</v>
      </c>
      <c r="F7" s="25" t="n">
        <f aca="false">Financials!$D$5*(1+B7)</f>
        <v>3240</v>
      </c>
      <c r="G7" s="25" t="n">
        <f aca="false">F7*(1+C7)</f>
        <v>4212</v>
      </c>
      <c r="H7" s="25" t="n">
        <f aca="false">G7*D7-Assumptions!$B$37</f>
        <v>290.74</v>
      </c>
      <c r="I7" s="33" t="n">
        <f aca="false">G7*E7/H7</f>
        <v>10.1410194675655</v>
      </c>
      <c r="J7" s="34" t="n">
        <f aca="false">(G7*E7-Valuation!$B$8)/Valuation!$B$9</f>
        <v>15.0780755606303</v>
      </c>
      <c r="K7" s="35" t="n">
        <f aca="false">J7/Assumptions!$B$7-1</f>
        <v>1.02935068110772</v>
      </c>
    </row>
    <row r="8" customFormat="false" ht="15" hidden="false" customHeight="false" outlineLevel="0" collapsed="false">
      <c r="B8" s="6" t="s">
        <v>184</v>
      </c>
      <c r="C8" s="6" t="s">
        <v>185</v>
      </c>
      <c r="D8" s="6" t="s">
        <v>186</v>
      </c>
    </row>
    <row r="9" customFormat="false" ht="15" hidden="false" customHeight="false" outlineLevel="0" collapsed="false">
      <c r="A9" s="6" t="s">
        <v>187</v>
      </c>
      <c r="B9" s="37" t="n">
        <v>0.25</v>
      </c>
      <c r="C9" s="37" t="n">
        <v>0.5</v>
      </c>
      <c r="D9" s="37" t="n">
        <v>0.25</v>
      </c>
      <c r="E9" s="35" t="n">
        <f aca="false">SUM(B9:D9)</f>
        <v>1</v>
      </c>
      <c r="F9" s="12" t="s">
        <v>188</v>
      </c>
    </row>
    <row r="11" customFormat="false" ht="15" hidden="false" customHeight="false" outlineLevel="0" collapsed="false">
      <c r="A11" s="6" t="s">
        <v>13</v>
      </c>
      <c r="E11" s="28" t="n">
        <f aca="false">B9*J5+C9*J6+D9*J7</f>
        <v>8.47014493551604</v>
      </c>
      <c r="F11" s="30" t="n">
        <f aca="false">E11/Assumptions!$B$7-1</f>
        <v>0.139992588898525</v>
      </c>
    </row>
    <row r="13" customFormat="false" ht="15" hidden="false" customHeight="false" outlineLevel="0" collapsed="false">
      <c r="A13" s="12" t="s">
        <v>189</v>
      </c>
    </row>
    <row r="14" customFormat="false" ht="15" hidden="false" customHeight="false" outlineLevel="0" collapsed="false">
      <c r="A14" s="12" t="s">
        <v>190</v>
      </c>
    </row>
    <row r="15" customFormat="false" ht="15" hidden="false" customHeight="false" outlineLevel="0" collapsed="false">
      <c r="A15" s="12" t="s">
        <v>191</v>
      </c>
    </row>
    <row r="16" customFormat="false" ht="15" hidden="false" customHeight="false" outlineLevel="0" collapsed="false">
      <c r="A16" s="12"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4" min="2" style="1" width="14"/>
  </cols>
  <sheetData>
    <row r="1" customFormat="false" ht="15" hidden="false" customHeight="false" outlineLevel="0" collapsed="false">
      <c r="A1" s="2" t="s">
        <v>193</v>
      </c>
    </row>
    <row r="2" customFormat="false" ht="15" hidden="false" customHeight="false" outlineLevel="0" collapsed="false">
      <c r="A2" s="3" t="s">
        <v>1</v>
      </c>
    </row>
    <row r="4" customFormat="false" ht="15" hidden="false" customHeight="false" outlineLevel="0" collapsed="false">
      <c r="A4" s="4" t="s">
        <v>194</v>
      </c>
      <c r="B4" s="38" t="n">
        <v>0.35</v>
      </c>
      <c r="C4" s="38" t="n">
        <f aca="false">Assumptions!$B$38</f>
        <v>0.45</v>
      </c>
      <c r="D4" s="38" t="n">
        <v>0.55</v>
      </c>
    </row>
    <row r="5" customFormat="false" ht="15" hidden="false" customHeight="false" outlineLevel="0" collapsed="false">
      <c r="A5" s="39" t="n">
        <v>3000</v>
      </c>
      <c r="B5" s="34" t="n">
        <f aca="false">($A5*B$4-Valuation!$B$8)/Valuation!$B$9</f>
        <v>4.79401628967036</v>
      </c>
      <c r="C5" s="34" t="n">
        <f aca="false">($A5*C$4-Valuation!$B$8)/Valuation!$B$9</f>
        <v>6.41918368394343</v>
      </c>
      <c r="D5" s="34" t="n">
        <f aca="false">($A5*D$4-Valuation!$B$8)/Valuation!$B$9</f>
        <v>8.0443510782165</v>
      </c>
    </row>
    <row r="6" customFormat="false" ht="15" hidden="false" customHeight="false" outlineLevel="0" collapsed="false">
      <c r="A6" s="40" t="n">
        <f aca="false">Financials!F5</f>
        <v>3600</v>
      </c>
      <c r="B6" s="34" t="n">
        <f aca="false">($A6*B$4-Valuation!$B$8)/Valuation!$B$9</f>
        <v>5.93163346566151</v>
      </c>
      <c r="C6" s="41" t="n">
        <f aca="false">($A6*C$4-Valuation!$B$8)/Valuation!$B$9</f>
        <v>7.88183433878919</v>
      </c>
      <c r="D6" s="34" t="n">
        <f aca="false">($A6*D$4-Valuation!$B$8)/Valuation!$B$9</f>
        <v>9.83203521191687</v>
      </c>
    </row>
    <row r="7" customFormat="false" ht="15" hidden="false" customHeight="false" outlineLevel="0" collapsed="false">
      <c r="A7" s="39" t="n">
        <v>4200</v>
      </c>
      <c r="B7" s="34" t="n">
        <f aca="false">($A7*B$4-Valuation!$B$8)/Valuation!$B$9</f>
        <v>7.06925064165265</v>
      </c>
      <c r="C7" s="34" t="n">
        <f aca="false">($A7*C$4-Valuation!$B$8)/Valuation!$B$9</f>
        <v>9.34448499363495</v>
      </c>
      <c r="D7" s="34" t="n">
        <f aca="false">($A7*D$4-Valuation!$B$8)/Valuation!$B$9</f>
        <v>11.6197193456172</v>
      </c>
    </row>
    <row r="9" customFormat="false" ht="15" hidden="false" customHeight="false" outlineLevel="0" collapsed="false">
      <c r="A9" s="6" t="s">
        <v>195</v>
      </c>
      <c r="B9" s="1" t="n">
        <f aca="false">COUNTIF(B5:D7,"&gt;"&amp;Assumptions!$B$7)</f>
        <v>5</v>
      </c>
      <c r="C9" s="1" t="s">
        <v>196</v>
      </c>
    </row>
    <row r="10" customFormat="false" ht="15" hidden="false" customHeight="false" outlineLevel="0" collapsed="false">
      <c r="A10" s="6" t="s">
        <v>197</v>
      </c>
      <c r="B10" s="1" t="n">
        <f aca="false">COUNTIF(B5:D7,"&gt;="&amp;Assumptions!$B$7*1.15)</f>
        <v>3</v>
      </c>
      <c r="C10" s="1" t="s">
        <v>196</v>
      </c>
    </row>
    <row r="12" customFormat="false" ht="15" hidden="false" customHeight="false" outlineLevel="0" collapsed="false">
      <c r="A12" s="12" t="s">
        <v>198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52"/>
    <col collapsed="false" customWidth="true" hidden="false" outlineLevel="0" max="8" min="2" style="1" width="12"/>
  </cols>
  <sheetData>
    <row r="1" customFormat="false" ht="15" hidden="false" customHeight="false" outlineLevel="0" collapsed="false">
      <c r="A1" s="2" t="s">
        <v>199</v>
      </c>
    </row>
    <row r="2" customFormat="false" ht="15" hidden="false" customHeight="false" outlineLevel="0" collapsed="false">
      <c r="A2" s="3" t="s">
        <v>1</v>
      </c>
    </row>
    <row r="4" customFormat="false" ht="15" hidden="false" customHeight="false" outlineLevel="0" collapsed="false">
      <c r="A4" s="4" t="s">
        <v>200</v>
      </c>
      <c r="B4" s="5" t="s">
        <v>201</v>
      </c>
      <c r="C4" s="5" t="s">
        <v>202</v>
      </c>
      <c r="D4" s="5" t="s">
        <v>203</v>
      </c>
      <c r="E4" s="5" t="s">
        <v>204</v>
      </c>
      <c r="F4" s="5" t="s">
        <v>205</v>
      </c>
      <c r="G4" s="5" t="s">
        <v>206</v>
      </c>
      <c r="H4" s="5" t="s">
        <v>207</v>
      </c>
    </row>
    <row r="5" customFormat="false" ht="15" hidden="false" customHeight="false" outlineLevel="0" collapsed="false">
      <c r="A5" s="6" t="s">
        <v>116</v>
      </c>
      <c r="B5" s="42" t="n">
        <v>186.788</v>
      </c>
      <c r="C5" s="42" t="n">
        <v>431.618</v>
      </c>
      <c r="D5" s="42" t="n">
        <v>602.533</v>
      </c>
      <c r="E5" s="42" t="n">
        <v>1041.891</v>
      </c>
      <c r="F5" s="42" t="n">
        <v>475.234</v>
      </c>
      <c r="G5" s="42" t="n">
        <v>464.891</v>
      </c>
      <c r="H5" s="42" t="n">
        <v>649.848</v>
      </c>
    </row>
    <row r="6" customFormat="false" ht="15" hidden="false" customHeight="false" outlineLevel="0" collapsed="false">
      <c r="A6" s="21" t="s">
        <v>208</v>
      </c>
      <c r="B6" s="42" t="n">
        <v>21.201</v>
      </c>
      <c r="C6" s="42" t="n">
        <v>42.582</v>
      </c>
      <c r="D6" s="42" t="n">
        <v>89.099</v>
      </c>
      <c r="E6" s="42" t="n">
        <v>142.903</v>
      </c>
      <c r="F6" s="42" t="n">
        <v>23.049</v>
      </c>
      <c r="G6" s="42" t="n">
        <v>46.63</v>
      </c>
      <c r="H6" s="42" t="n">
        <v>33.241</v>
      </c>
    </row>
    <row r="7" customFormat="false" ht="15" hidden="false" customHeight="false" outlineLevel="0" collapsed="false">
      <c r="A7" s="21" t="s">
        <v>209</v>
      </c>
      <c r="B7" s="22" t="n">
        <f aca="false">B6/B5</f>
        <v>0.113503008758593</v>
      </c>
      <c r="C7" s="22" t="n">
        <f aca="false">C6/C5</f>
        <v>0.0986566825294589</v>
      </c>
      <c r="D7" s="22" t="n">
        <f aca="false">D6/D5</f>
        <v>0.147874058350331</v>
      </c>
      <c r="E7" s="22" t="n">
        <f aca="false">E6/E5</f>
        <v>0.137157341794871</v>
      </c>
      <c r="F7" s="22" t="n">
        <f aca="false">F6/F5</f>
        <v>0.048500317738209</v>
      </c>
      <c r="G7" s="22" t="n">
        <f aca="false">G6/G5</f>
        <v>0.100303081797669</v>
      </c>
      <c r="H7" s="22" t="n">
        <f aca="false">H6/H5</f>
        <v>0.0511519616895028</v>
      </c>
    </row>
    <row r="8" customFormat="false" ht="15" hidden="false" customHeight="false" outlineLevel="0" collapsed="false">
      <c r="A8" s="21" t="s">
        <v>210</v>
      </c>
      <c r="B8" s="43" t="n">
        <v>0.125</v>
      </c>
      <c r="C8" s="43" t="n">
        <v>0.104</v>
      </c>
      <c r="D8" s="43" t="n">
        <v>0.154</v>
      </c>
      <c r="E8" s="43" t="n">
        <v>0.143</v>
      </c>
      <c r="F8" s="43" t="n">
        <v>0.056</v>
      </c>
      <c r="G8" s="43" t="n">
        <v>0.111</v>
      </c>
      <c r="H8" s="43" t="n">
        <v>0.059</v>
      </c>
    </row>
    <row r="9" customFormat="false" ht="15" hidden="false" customHeight="false" outlineLevel="0" collapsed="false">
      <c r="A9" s="21" t="s">
        <v>121</v>
      </c>
      <c r="B9" s="42" t="n">
        <v>-49.676</v>
      </c>
      <c r="C9" s="42" t="n">
        <v>-30.411</v>
      </c>
      <c r="D9" s="42" t="n">
        <v>27.355</v>
      </c>
      <c r="E9" s="42" t="n">
        <v>72.187</v>
      </c>
      <c r="F9" s="42" t="n">
        <v>-52.058</v>
      </c>
      <c r="G9" s="42" t="n">
        <v>-9.442</v>
      </c>
      <c r="H9" s="42" t="n">
        <v>-29.296</v>
      </c>
    </row>
    <row r="10" customFormat="false" ht="15" hidden="false" customHeight="false" outlineLevel="0" collapsed="false">
      <c r="A10" s="21" t="s">
        <v>211</v>
      </c>
      <c r="B10" s="44" t="n">
        <v>5.1</v>
      </c>
      <c r="C10" s="44" t="n">
        <v>4.9</v>
      </c>
      <c r="D10" s="44" t="n">
        <v>4.9</v>
      </c>
      <c r="E10" s="44" t="n">
        <v>5.3</v>
      </c>
      <c r="F10" s="44" t="n">
        <v>5.5</v>
      </c>
      <c r="G10" s="44" t="n">
        <v>5.6</v>
      </c>
      <c r="H10" s="44" t="n">
        <v>6.4</v>
      </c>
    </row>
    <row r="12" customFormat="false" ht="15" hidden="false" customHeight="false" outlineLevel="0" collapsed="false">
      <c r="A12" s="11" t="s">
        <v>212</v>
      </c>
    </row>
    <row r="13" customFormat="false" ht="15" hidden="false" customHeight="false" outlineLevel="0" collapsed="false">
      <c r="A13" s="1" t="s">
        <v>116</v>
      </c>
      <c r="B13" s="25" t="n">
        <f aca="false">SUM(F5:H5)</f>
        <v>1589.973</v>
      </c>
    </row>
    <row r="14" customFormat="false" ht="15" hidden="false" customHeight="false" outlineLevel="0" collapsed="false">
      <c r="A14" s="1" t="s">
        <v>213</v>
      </c>
      <c r="B14" s="15" t="n">
        <v>116.772</v>
      </c>
    </row>
    <row r="15" customFormat="false" ht="15" hidden="false" customHeight="false" outlineLevel="0" collapsed="false">
      <c r="A15" s="1" t="s">
        <v>121</v>
      </c>
      <c r="B15" s="25" t="n">
        <f aca="false">SUM(F9:H9)</f>
        <v>-90.796</v>
      </c>
    </row>
    <row r="16" customFormat="false" ht="15" hidden="false" customHeight="false" outlineLevel="0" collapsed="false">
      <c r="A16" s="1" t="s">
        <v>214</v>
      </c>
      <c r="B16" s="25" t="n">
        <f aca="false">B14-B15</f>
        <v>207.568</v>
      </c>
    </row>
    <row r="17" customFormat="false" ht="15" hidden="false" customHeight="false" outlineLevel="0" collapsed="false">
      <c r="A17" s="1" t="s">
        <v>215</v>
      </c>
      <c r="B17" s="15" t="n">
        <v>890.926</v>
      </c>
    </row>
    <row r="18" customFormat="false" ht="15" hidden="false" customHeight="false" outlineLevel="0" collapsed="false">
      <c r="A18" s="1" t="s">
        <v>216</v>
      </c>
      <c r="B18" s="30" t="n">
        <f aca="false">B17/B13</f>
        <v>0.560340332823262</v>
      </c>
    </row>
    <row r="20" customFormat="false" ht="15" hidden="false" customHeight="false" outlineLevel="0" collapsed="false">
      <c r="A20" s="11" t="s">
        <v>217</v>
      </c>
    </row>
    <row r="21" customFormat="false" ht="15" hidden="false" customHeight="false" outlineLevel="0" collapsed="false">
      <c r="A21" s="1" t="s">
        <v>116</v>
      </c>
      <c r="B21" s="25" t="n">
        <f aca="false">Assumptions!$B$28-B13</f>
        <v>810.027</v>
      </c>
    </row>
    <row r="22" customFormat="false" ht="15" hidden="false" customHeight="false" outlineLevel="0" collapsed="false">
      <c r="A22" s="1" t="s">
        <v>121</v>
      </c>
      <c r="B22" s="25" t="n">
        <f aca="false">Assumptions!$B$29-B15</f>
        <v>-109.204</v>
      </c>
    </row>
    <row r="24" customFormat="false" ht="15" hidden="false" customHeight="false" outlineLevel="0" collapsed="false">
      <c r="A24" s="11" t="s">
        <v>218</v>
      </c>
    </row>
    <row r="25" customFormat="false" ht="15" hidden="false" customHeight="false" outlineLevel="0" collapsed="false">
      <c r="A25" s="4" t="s">
        <v>219</v>
      </c>
      <c r="B25" s="5" t="s">
        <v>220</v>
      </c>
      <c r="C25" s="5" t="s">
        <v>221</v>
      </c>
      <c r="D25" s="5" t="s">
        <v>222</v>
      </c>
    </row>
    <row r="26" customFormat="false" ht="15" hidden="false" customHeight="false" outlineLevel="0" collapsed="false">
      <c r="A26" s="1" t="s">
        <v>223</v>
      </c>
      <c r="B26" s="45" t="n">
        <v>4.2</v>
      </c>
      <c r="C26" s="45" t="n">
        <v>1.9</v>
      </c>
      <c r="D26" s="35" t="n">
        <f aca="false">B26/C26-1</f>
        <v>1.21052631578947</v>
      </c>
    </row>
    <row r="27" customFormat="false" ht="15" hidden="false" customHeight="false" outlineLevel="0" collapsed="false">
      <c r="A27" s="1" t="s">
        <v>224</v>
      </c>
      <c r="B27" s="45" t="n">
        <v>163.7</v>
      </c>
      <c r="C27" s="45" t="n">
        <v>122</v>
      </c>
      <c r="D27" s="35" t="n">
        <f aca="false">B27/C27-1</f>
        <v>0.341803278688525</v>
      </c>
    </row>
    <row r="29" customFormat="false" ht="15" hidden="false" customHeight="false" outlineLevel="0" collapsed="false">
      <c r="A29" s="12" t="s">
        <v>225</v>
      </c>
    </row>
    <row r="30" customFormat="false" ht="15" hidden="false" customHeight="false" outlineLevel="0" collapsed="false">
      <c r="A30" s="12" t="s">
        <v>226</v>
      </c>
    </row>
    <row r="31" customFormat="false" ht="15" hidden="false" customHeight="false" outlineLevel="0" collapsed="false">
      <c r="A31" s="12" t="s">
        <v>227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16"/>
    <col collapsed="false" customWidth="true" hidden="false" outlineLevel="0" max="3" min="3" style="1" width="12"/>
    <col collapsed="false" customWidth="true" hidden="false" outlineLevel="0" max="4" min="4" style="1" width="14"/>
    <col collapsed="false" customWidth="true" hidden="false" outlineLevel="0" max="5" min="5" style="1" width="70"/>
  </cols>
  <sheetData>
    <row r="1" customFormat="false" ht="15" hidden="false" customHeight="false" outlineLevel="0" collapsed="false">
      <c r="A1" s="2" t="s">
        <v>228</v>
      </c>
    </row>
    <row r="2" customFormat="false" ht="15" hidden="false" customHeight="false" outlineLevel="0" collapsed="false">
      <c r="A2" s="3" t="s">
        <v>1</v>
      </c>
    </row>
    <row r="4" customFormat="false" ht="15" hidden="false" customHeight="false" outlineLevel="0" collapsed="false">
      <c r="A4" s="4" t="s">
        <v>229</v>
      </c>
      <c r="B4" s="5" t="s">
        <v>230</v>
      </c>
      <c r="C4" s="5" t="s">
        <v>177</v>
      </c>
      <c r="D4" s="5" t="s">
        <v>181</v>
      </c>
      <c r="E4" s="5" t="s">
        <v>231</v>
      </c>
    </row>
    <row r="5" customFormat="false" ht="15" hidden="false" customHeight="false" outlineLevel="0" collapsed="false">
      <c r="A5" s="6" t="s">
        <v>232</v>
      </c>
      <c r="B5" s="1" t="s">
        <v>233</v>
      </c>
      <c r="C5" s="46" t="n">
        <v>0.55</v>
      </c>
      <c r="D5" s="47" t="s">
        <v>234</v>
      </c>
      <c r="E5" s="8" t="s">
        <v>235</v>
      </c>
    </row>
    <row r="6" customFormat="false" ht="15" hidden="false" customHeight="false" outlineLevel="0" collapsed="false">
      <c r="A6" s="21" t="s">
        <v>236</v>
      </c>
      <c r="B6" s="1" t="s">
        <v>237</v>
      </c>
      <c r="C6" s="46" t="n">
        <v>1.84</v>
      </c>
      <c r="D6" s="47" t="n">
        <v>10.04</v>
      </c>
      <c r="E6" s="8" t="s">
        <v>238</v>
      </c>
    </row>
    <row r="7" customFormat="false" ht="15" hidden="false" customHeight="false" outlineLevel="0" collapsed="false">
      <c r="A7" s="21" t="s">
        <v>239</v>
      </c>
      <c r="B7" s="1" t="s">
        <v>240</v>
      </c>
      <c r="C7" s="46" t="n">
        <v>3.28</v>
      </c>
      <c r="D7" s="47" t="n">
        <v>15.88</v>
      </c>
      <c r="E7" s="8" t="s">
        <v>241</v>
      </c>
    </row>
    <row r="8" customFormat="false" ht="15" hidden="false" customHeight="false" outlineLevel="0" collapsed="false">
      <c r="A8" s="21" t="s">
        <v>242</v>
      </c>
      <c r="B8" s="1" t="s">
        <v>243</v>
      </c>
      <c r="C8" s="46" t="n">
        <v>2.87</v>
      </c>
      <c r="D8" s="47" t="n">
        <v>16.79</v>
      </c>
      <c r="E8" s="8" t="s">
        <v>244</v>
      </c>
    </row>
    <row r="9" customFormat="false" ht="15" hidden="false" customHeight="false" outlineLevel="0" collapsed="false">
      <c r="A9" s="21" t="s">
        <v>245</v>
      </c>
      <c r="B9" s="1" t="s">
        <v>246</v>
      </c>
      <c r="C9" s="46" t="n">
        <v>0.85</v>
      </c>
      <c r="D9" s="47" t="n">
        <v>8.48</v>
      </c>
      <c r="E9" s="8" t="s">
        <v>241</v>
      </c>
    </row>
    <row r="10" customFormat="false" ht="15" hidden="false" customHeight="false" outlineLevel="0" collapsed="false">
      <c r="A10" s="21" t="s">
        <v>247</v>
      </c>
      <c r="B10" s="1" t="s">
        <v>248</v>
      </c>
      <c r="C10" s="46" t="n">
        <v>5.85</v>
      </c>
      <c r="D10" s="47" t="s">
        <v>234</v>
      </c>
      <c r="E10" s="8" t="s">
        <v>249</v>
      </c>
    </row>
    <row r="12" customFormat="false" ht="15" hidden="false" customHeight="false" outlineLevel="0" collapsed="false">
      <c r="A12" s="6" t="s">
        <v>250</v>
      </c>
      <c r="C12" s="32" t="n">
        <f aca="false">MEDIAN(C6:C9)</f>
        <v>2.355</v>
      </c>
      <c r="D12" s="33" t="n">
        <f aca="false">MEDIAN(D6:D9)</f>
        <v>12.96</v>
      </c>
    </row>
    <row r="13" customFormat="false" ht="15" hidden="false" customHeight="false" outlineLevel="0" collapsed="false">
      <c r="A13" s="1" t="s">
        <v>251</v>
      </c>
      <c r="D13" s="33" t="n">
        <f aca="false">Valuation!B23</f>
        <v>10.9459459459459</v>
      </c>
    </row>
    <row r="15" customFormat="false" ht="15" hidden="false" customHeight="false" outlineLevel="0" collapsed="false">
      <c r="A15" s="12" t="s">
        <v>252</v>
      </c>
    </row>
    <row r="16" customFormat="false" ht="15" hidden="false" customHeight="false" outlineLevel="0" collapsed="false">
      <c r="A16" s="12" t="s">
        <v>253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40"/>
  </cols>
  <sheetData>
    <row r="1" customFormat="false" ht="15" hidden="false" customHeight="false" outlineLevel="0" collapsed="false">
      <c r="A1" s="2" t="s">
        <v>254</v>
      </c>
    </row>
    <row r="2" customFormat="false" ht="15" hidden="false" customHeight="false" outlineLevel="0" collapsed="false">
      <c r="A2" s="3" t="s">
        <v>1</v>
      </c>
    </row>
    <row r="4" customFormat="false" ht="15" hidden="false" customHeight="false" outlineLevel="0" collapsed="false">
      <c r="A4" s="4" t="s">
        <v>255</v>
      </c>
      <c r="B4" s="5" t="s">
        <v>256</v>
      </c>
    </row>
    <row r="5" customFormat="false" ht="23.85" hidden="false" customHeight="false" outlineLevel="0" collapsed="false">
      <c r="A5" s="1" t="n">
        <v>1</v>
      </c>
      <c r="B5" s="8" t="s">
        <v>257</v>
      </c>
    </row>
    <row r="6" customFormat="false" ht="23.85" hidden="false" customHeight="false" outlineLevel="0" collapsed="false">
      <c r="A6" s="1" t="n">
        <v>2</v>
      </c>
      <c r="B6" s="8" t="s">
        <v>258</v>
      </c>
    </row>
    <row r="7" customFormat="false" ht="23.85" hidden="false" customHeight="false" outlineLevel="0" collapsed="false">
      <c r="A7" s="1" t="n">
        <v>3</v>
      </c>
      <c r="B7" s="8" t="s">
        <v>259</v>
      </c>
    </row>
    <row r="8" customFormat="false" ht="15" hidden="false" customHeight="false" outlineLevel="0" collapsed="false">
      <c r="A8" s="1" t="n">
        <v>4</v>
      </c>
      <c r="B8" s="8" t="s">
        <v>260</v>
      </c>
    </row>
    <row r="9" customFormat="false" ht="23.85" hidden="false" customHeight="false" outlineLevel="0" collapsed="false">
      <c r="A9" s="1" t="n">
        <v>5</v>
      </c>
      <c r="B9" s="8" t="s">
        <v>261</v>
      </c>
    </row>
    <row r="10" customFormat="false" ht="23.85" hidden="false" customHeight="false" outlineLevel="0" collapsed="false">
      <c r="A10" s="1" t="n">
        <v>6</v>
      </c>
      <c r="B10" s="8" t="s">
        <v>262</v>
      </c>
    </row>
    <row r="11" customFormat="false" ht="15" hidden="false" customHeight="false" outlineLevel="0" collapsed="false">
      <c r="A11" s="1" t="n">
        <v>7</v>
      </c>
      <c r="B11" s="8" t="s">
        <v>263</v>
      </c>
    </row>
    <row r="12" customFormat="false" ht="15" hidden="false" customHeight="false" outlineLevel="0" collapsed="false">
      <c r="A12" s="1" t="n">
        <v>8</v>
      </c>
      <c r="B12" s="8" t="s">
        <v>264</v>
      </c>
    </row>
    <row r="13" customFormat="false" ht="23.85" hidden="false" customHeight="false" outlineLevel="0" collapsed="false">
      <c r="A13" s="1" t="n">
        <v>9</v>
      </c>
      <c r="B13" s="8" t="s">
        <v>265</v>
      </c>
    </row>
    <row r="14" customFormat="false" ht="15" hidden="false" customHeight="false" outlineLevel="0" collapsed="false">
      <c r="A14" s="1" t="n">
        <v>10</v>
      </c>
      <c r="B14" s="8" t="s">
        <v>266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2026-10-12T04:46:35Z</dcterms:created>
  <dc:creator>openpyxl</dc:creator>
  <dc:description/>
  <dc:language>en-GB</dc:language>
  <cp:lastModifiedBy/>
  <dcterms:modified xsi:type="dcterms:W3CDTF">2026-10-12T04:46:35Z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