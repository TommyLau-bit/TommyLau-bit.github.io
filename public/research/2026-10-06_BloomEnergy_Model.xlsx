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ilution" sheetId="3" state="visible" r:id="rId3"/>
    <sheet xmlns:r="http://schemas.openxmlformats.org/officeDocument/2006/relationships" name="Quarterly" sheetId="4" state="visible" r:id="rId4"/>
    <sheet xmlns:r="http://schemas.openxmlformats.org/officeDocument/2006/relationships" name="Financials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Capacity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Sensitivity" sheetId="9" state="visible" r:id="rId9"/>
    <sheet xmlns:r="http://schemas.openxmlformats.org/officeDocument/2006/relationships" name="Peers" sheetId="10" state="visible" r:id="rId10"/>
    <sheet xmlns:r="http://schemas.openxmlformats.org/officeDocument/2006/relationships" name="Sourc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#,##0.000"/>
    <numFmt numFmtId="165" formatCode="0&quot;x&quot;"/>
    <numFmt numFmtId="166" formatCode="0.0%"/>
    <numFmt numFmtId="167" formatCode="0.0000"/>
    <numFmt numFmtId="168" formatCode="&quot;US$&quot;#,##0.00"/>
    <numFmt numFmtId="169" formatCode="0.000"/>
    <numFmt numFmtId="170" formatCode="0.00&quot;x&quot;"/>
    <numFmt numFmtId="171" formatCode="0.0&quot;x&quot;"/>
    <numFmt numFmtId="172" formatCode="#,##0.0"/>
    <numFmt numFmtId="173" formatCode="&quot;US$&quot;#,##0"/>
  </numFmts>
  <fonts count="12">
    <font>
      <name val="Calibri"/>
      <family val="2"/>
      <color theme="1"/>
      <sz val="11"/>
      <scheme val="minor"/>
    </font>
    <font>
      <b val="1"/>
      <color rgb="001F3864"/>
      <sz val="12"/>
    </font>
    <font>
      <color rgb="00595959"/>
      <sz val="9"/>
    </font>
    <font>
      <i val="1"/>
      <color rgb="00595959"/>
      <sz val="9"/>
    </font>
    <font>
      <b val="1"/>
      <color rgb="00FFFFFF"/>
      <sz val="10"/>
    </font>
    <font>
      <b val="1"/>
      <color rgb="001F3864"/>
    </font>
    <font>
      <color rgb="000000FF"/>
    </font>
    <font>
      <b val="1"/>
      <color rgb="000000FF"/>
    </font>
    <font>
      <b val="1"/>
    </font>
    <font/>
    <font>
      <color rgb="0000800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8" fillId="0" borderId="0" pivotButton="0" quotePrefix="0" xfId="0"/>
    <xf numFmtId="0" fontId="10" fillId="0" borderId="0" applyAlignment="1" pivotButton="0" quotePrefix="0" xfId="0">
      <alignment horizontal="right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right"/>
    </xf>
    <xf numFmtId="168" fontId="10" fillId="0" borderId="0" applyAlignment="1" pivotButton="0" quotePrefix="0" xfId="0">
      <alignment horizontal="right"/>
    </xf>
    <xf numFmtId="166" fontId="10" fillId="0" borderId="0" applyAlignment="1" pivotButton="0" quotePrefix="0" xfId="0">
      <alignment horizontal="right"/>
    </xf>
    <xf numFmtId="0" fontId="5" fillId="0" borderId="0" pivotButton="0" quotePrefix="0" xfId="0"/>
    <xf numFmtId="0" fontId="3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164" fontId="7" fillId="3" borderId="0" pivotButton="0" quotePrefix="0" xfId="0"/>
    <xf numFmtId="166" fontId="7" fillId="3" borderId="0" pivotButton="0" quotePrefix="0" xfId="0"/>
    <xf numFmtId="165" fontId="7" fillId="3" borderId="0" pivotButton="0" quotePrefix="0" xfId="0"/>
    <xf numFmtId="164" fontId="0" fillId="0" borderId="0" pivotButton="0" quotePrefix="0" xfId="0"/>
    <xf numFmtId="167" fontId="6" fillId="0" borderId="0" pivotButton="0" quotePrefix="0" xfId="0"/>
    <xf numFmtId="166" fontId="0" fillId="0" borderId="0" pivotButton="0" quotePrefix="0" xfId="0"/>
    <xf numFmtId="168" fontId="0" fillId="0" borderId="0" pivotButton="0" quotePrefix="0" xfId="0"/>
    <xf numFmtId="1" fontId="6" fillId="0" borderId="0" pivotButton="0" quotePrefix="0" xfId="0"/>
    <xf numFmtId="169" fontId="6" fillId="0" borderId="0" pivotButton="0" quotePrefix="0" xfId="0"/>
    <xf numFmtId="164" fontId="6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9" fillId="0" borderId="0" pivotButton="0" quotePrefix="0" xfId="0"/>
    <xf numFmtId="166" fontId="0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168" fontId="0" fillId="0" borderId="0" applyAlignment="1" pivotButton="0" quotePrefix="0" xfId="0">
      <alignment horizontal="right"/>
    </xf>
    <xf numFmtId="170" fontId="0" fillId="0" borderId="0" pivotButton="0" quotePrefix="0" xfId="0"/>
    <xf numFmtId="9" fontId="0" fillId="0" borderId="0" pivotButton="0" quotePrefix="0" xfId="0"/>
    <xf numFmtId="4" fontId="0" fillId="0" borderId="0" pivotButton="0" quotePrefix="0" xfId="0"/>
    <xf numFmtId="4" fontId="6" fillId="0" borderId="0" applyAlignment="1" pivotButton="0" quotePrefix="0" xfId="0">
      <alignment horizontal="right"/>
    </xf>
    <xf numFmtId="4" fontId="1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164" fontId="10" fillId="0" borderId="0" applyAlignment="1" pivotButton="0" quotePrefix="0" xfId="0">
      <alignment horizontal="right"/>
    </xf>
    <xf numFmtId="9" fontId="0" fillId="0" borderId="0" applyAlignment="1" pivotButton="0" quotePrefix="0" xfId="0">
      <alignment horizontal="right"/>
    </xf>
    <xf numFmtId="9" fontId="10" fillId="0" borderId="0" applyAlignment="1" pivotButton="0" quotePrefix="0" xfId="0">
      <alignment horizontal="right"/>
    </xf>
    <xf numFmtId="171" fontId="10" fillId="0" borderId="0" applyAlignment="1" pivotButton="0" quotePrefix="0" xfId="0">
      <alignment horizontal="right"/>
    </xf>
    <xf numFmtId="4" fontId="7" fillId="3" borderId="0" pivotButton="0" quotePrefix="0" xfId="0"/>
    <xf numFmtId="165" fontId="10" fillId="0" borderId="0" pivotButton="0" quotePrefix="0" xfId="0"/>
    <xf numFmtId="9" fontId="7" fillId="3" borderId="0" pivotButton="0" quotePrefix="0" xfId="0"/>
    <xf numFmtId="168" fontId="8" fillId="4" borderId="0" pivotButton="0" quotePrefix="0" xfId="0"/>
    <xf numFmtId="172" fontId="0" fillId="0" borderId="0" pivotButton="0" quotePrefix="0" xfId="0"/>
    <xf numFmtId="165" fontId="0" fillId="0" borderId="0" pivotButton="0" quotePrefix="0" xfId="0"/>
    <xf numFmtId="0" fontId="7" fillId="4" borderId="0" pivotButton="0" quotePrefix="0" xfId="0"/>
    <xf numFmtId="171" fontId="0" fillId="0" borderId="0" pivotButton="0" quotePrefix="0" xfId="0"/>
    <xf numFmtId="165" fontId="11" fillId="2" borderId="0" applyAlignment="1" pivotButton="0" quotePrefix="0" xfId="0">
      <alignment horizontal="right"/>
    </xf>
    <xf numFmtId="168" fontId="6" fillId="0" borderId="0" pivotButton="0" quotePrefix="0" xfId="0"/>
    <xf numFmtId="173" fontId="0" fillId="0" borderId="0" pivotButton="0" quotePrefix="0" xfId="0"/>
    <xf numFmtId="168" fontId="10" fillId="0" borderId="0" pivotButton="0" quotePrefix="0" xfId="0"/>
    <xf numFmtId="173" fontId="0" fillId="4" borderId="0" pivotButton="0" quotePrefix="0" xfId="0"/>
    <xf numFmtId="171" fontId="10" fillId="0" borderId="0" pivotButton="0" quotePrefix="0" xfId="0"/>
    <xf numFmtId="171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80" customWidth="1" min="3" max="3"/>
  </cols>
  <sheetData>
    <row r="1">
      <c r="A1" s="1" t="inlineStr">
        <is>
          <t>BLOOM ENERGY (NYSE: BE)  INITIATION MODEL</t>
        </is>
      </c>
    </row>
    <row r="2">
      <c r="A2" s="2" t="inlineStr">
        <is>
          <t>Tommy Lau | Bloom Energy (NYSE: BE) | 6 October 2026 | Non-GAAP basis | Personal research, not investment advice.</t>
        </is>
      </c>
    </row>
    <row r="4">
      <c r="A4" s="3" t="inlineStr">
        <is>
          <t>Item</t>
        </is>
      </c>
      <c r="B4" s="4" t="inlineStr">
        <is>
          <t>Value</t>
        </is>
      </c>
      <c r="C4" s="4" t="inlineStr">
        <is>
          <t>Note</t>
        </is>
      </c>
    </row>
    <row r="5">
      <c r="A5" s="5" t="inlineStr">
        <is>
          <t>Call</t>
        </is>
      </c>
      <c r="B5" s="6">
        <f>Valuation!$B$12</f>
        <v/>
      </c>
      <c r="C5" s="7" t="inlineStr">
        <is>
          <t>Tommy Lau's call, published 6 Oct 2026.</t>
        </is>
      </c>
    </row>
    <row r="6">
      <c r="A6" s="5" t="inlineStr">
        <is>
          <t>Conviction</t>
        </is>
      </c>
      <c r="B6" s="8" t="inlineStr">
        <is>
          <t>Medium</t>
        </is>
      </c>
      <c r="C6" s="7" t="inlineStr">
        <is>
          <t>Judgement, not formula.</t>
        </is>
      </c>
    </row>
    <row r="7">
      <c r="A7" s="5" t="inlineStr">
        <is>
          <t>Reference price, US$</t>
        </is>
      </c>
      <c r="B7" s="9">
        <f>Assumptions!$B$7</f>
        <v/>
      </c>
      <c r="C7" s="7" t="inlineStr">
        <is>
          <t>NYSE close, 5 October 2026.</t>
        </is>
      </c>
    </row>
    <row r="8">
      <c r="A8" s="5" t="inlineStr">
        <is>
          <t>Base value, US$</t>
        </is>
      </c>
      <c r="B8" s="9">
        <f>Valuation!$B$7</f>
        <v/>
      </c>
      <c r="C8" s="7" t="inlineStr">
        <is>
          <t>40x 2028E EPS.</t>
        </is>
      </c>
    </row>
    <row r="9">
      <c r="A9" s="5" t="inlineStr">
        <is>
          <t>Base value against the price</t>
        </is>
      </c>
      <c r="B9" s="10">
        <f>Valuation!$B$9</f>
        <v/>
      </c>
      <c r="C9" s="7" t="inlineStr"/>
    </row>
    <row r="10">
      <c r="A10" s="5" t="inlineStr">
        <is>
          <t>Probability-weighted value, US$</t>
        </is>
      </c>
      <c r="B10" s="9">
        <f>Valuation!$B$10</f>
        <v/>
      </c>
      <c r="C10" s="7" t="inlineStr">
        <is>
          <t>25 / 50 / 25 bear / base / bull.</t>
        </is>
      </c>
    </row>
    <row r="11">
      <c r="A11" s="5" t="inlineStr">
        <is>
          <t>2026E / 2027E / 2028E EPS, US$</t>
        </is>
      </c>
      <c r="B11" s="6">
        <f>TEXT(Financials!D19,"0.00")&amp;" / "&amp;TEXT(Financials!E19,"0.00")&amp;" / "&amp;TEXT(Financials!F19,"0.00")</f>
        <v/>
      </c>
      <c r="C11" s="7" t="inlineStr">
        <is>
          <t>Own estimates, non-GAAP, fully diluted.</t>
        </is>
      </c>
    </row>
    <row r="12">
      <c r="A12" s="5" t="inlineStr">
        <is>
          <t>Horizon</t>
        </is>
      </c>
      <c r="B12" s="8" t="inlineStr">
        <is>
          <t>12 months, to October 2027</t>
        </is>
      </c>
      <c r="C12" s="7" t="inlineStr"/>
    </row>
    <row r="13">
      <c r="A13" s="5" t="inlineStr">
        <is>
          <t>Wrong if</t>
        </is>
      </c>
      <c r="B13" s="8" t="inlineStr">
        <is>
          <t>See note</t>
        </is>
      </c>
      <c r="C13" s="7" t="inlineStr">
        <is>
          <t>Bloom's 2027 revenue of US$7bn or more with non-GAAP gross margin of 36% or more; or the shares close above US$360 or below US$200 by October 2027.</t>
        </is>
      </c>
    </row>
    <row r="14">
      <c r="A14" s="5" t="inlineStr">
        <is>
          <t>Revisit if</t>
        </is>
      </c>
      <c r="B14" s="8" t="inlineStr">
        <is>
          <t>See note</t>
        </is>
      </c>
      <c r="C14" s="7" t="inlineStr">
        <is>
          <t>A price above about US$322 (consider short) or below about US$210 (consider long); a 2027 guide below 40% growth; or product gross margin of 38% or more in two quarters running.</t>
        </is>
      </c>
    </row>
    <row r="17">
      <c r="A17" s="11" t="inlineStr">
        <is>
          <t>Tabs</t>
        </is>
      </c>
    </row>
    <row r="18">
      <c r="A18" t="inlineStr">
        <is>
          <t>Assumptions</t>
        </is>
      </c>
      <c r="B18" t="inlineStr">
        <is>
          <t>Every input, with its source. Change the yellow cells to move the value.</t>
        </is>
      </c>
    </row>
    <row r="19">
      <c r="A19" t="inlineStr">
        <is>
          <t>Dilution</t>
        </is>
      </c>
      <c r="B19" t="inlineStr">
        <is>
          <t>Shares outstanding, convertible notes, staff awards, the Oracle warrant; the fully diluted count.</t>
        </is>
      </c>
    </row>
    <row r="20">
      <c r="A20" t="inlineStr">
        <is>
          <t>Quarterly</t>
        </is>
      </c>
      <c r="B20" t="inlineStr">
        <is>
          <t>Q1 2024 to Q2 2026 reported, my Q3 and Q4 2026; product and service margins, related-party sales.</t>
        </is>
      </c>
    </row>
    <row r="21">
      <c r="A21" t="inlineStr">
        <is>
          <t>Financials</t>
        </is>
      </c>
      <c r="B21" t="inlineStr">
        <is>
          <t>2024A to 2028E: revenue, margins, operating income, net profit, EPS, P/E, megawatt-equivalents.</t>
        </is>
      </c>
    </row>
    <row r="22">
      <c r="A22" t="inlineStr">
        <is>
          <t>Scenarios</t>
        </is>
      </c>
      <c r="B22" t="inlineStr">
        <is>
          <t>Bear / base / bull and the probability-weighted value.</t>
        </is>
      </c>
    </row>
    <row r="23">
      <c r="A23" t="inlineStr">
        <is>
          <t>Capacity</t>
        </is>
      </c>
      <c r="B23" t="inlineStr">
        <is>
          <t>Revenue converted to gigawatts at AEP's price, against the factory.</t>
        </is>
      </c>
    </row>
    <row r="24">
      <c r="A24" t="inlineStr">
        <is>
          <t>Valuation</t>
        </is>
      </c>
      <c r="B24" t="inlineStr">
        <is>
          <t>Base value, market value, multiples, what the price needs.</t>
        </is>
      </c>
    </row>
    <row r="25">
      <c r="A25" t="inlineStr">
        <is>
          <t>Sensitivity</t>
        </is>
      </c>
      <c r="B25" t="inlineStr">
        <is>
          <t>2028E EPS against multiple.</t>
        </is>
      </c>
    </row>
    <row r="26">
      <c r="A26" t="inlineStr">
        <is>
          <t>Peers</t>
        </is>
      </c>
      <c r="B26" t="inlineStr">
        <is>
          <t>Forward multiples used to set the base multiple.</t>
        </is>
      </c>
    </row>
    <row r="27">
      <c r="A27" t="inlineStr">
        <is>
          <t>Sources</t>
        </is>
      </c>
      <c r="B27" t="inlineStr">
        <is>
          <t>Every source used.</t>
        </is>
      </c>
    </row>
    <row r="29">
      <c r="A29" s="12" t="inlineStr">
        <is>
          <t>Colour key: blue = hardcoded input; yellow fill = my own assumption; green = link to another tab; black = formula.</t>
        </is>
      </c>
    </row>
    <row r="30">
      <c r="A30" s="12" t="inlineStr">
        <is>
          <t>Companion note: 2026-10-06_BloomEnergy_Initiation.pdf. Personal research, not investment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6" customWidth="1" min="1" max="1"/>
    <col width="14" customWidth="1" min="2" max="2"/>
    <col width="10" customWidth="1" min="3" max="3"/>
    <col width="92" customWidth="1" min="4" max="4"/>
  </cols>
  <sheetData>
    <row r="1">
      <c r="A1" s="1" t="inlineStr">
        <is>
          <t>ASSUMPTIONS AND INPUTS</t>
        </is>
      </c>
    </row>
    <row r="2">
      <c r="A2" s="2" t="inlineStr">
        <is>
          <t>Tommy Lau | Bloom Energy (NYSE: BE) | 6 October 2026 | Non-GAAP basis | Personal research, not investment advice.</t>
        </is>
      </c>
    </row>
    <row r="3">
      <c r="A3" s="12" t="inlineStr">
        <is>
          <t>Blue = hardcoded input. Yellow fill = my own assumption (change these to move the value). Green = link to another tab. Black = formula. US$ billion unless stated; per-share figures in US$. Non-GAAP basis unless marked GAAP.</t>
        </is>
      </c>
    </row>
    <row r="5">
      <c r="A5" s="3" t="inlineStr">
        <is>
          <t>Input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Source / note</t>
        </is>
      </c>
    </row>
    <row r="6">
      <c r="A6" s="11" t="inlineStr">
        <is>
          <t>MARKET (retrieved 6 October 2026)</t>
        </is>
      </c>
    </row>
    <row r="7">
      <c r="A7" t="inlineStr">
        <is>
          <t>Share price (NYSE: BE)</t>
        </is>
      </c>
      <c r="B7" s="13" t="n">
        <v>286.65</v>
      </c>
      <c r="C7" t="inlineStr">
        <is>
          <t>US$</t>
        </is>
      </c>
      <c r="D7" s="7" t="inlineStr">
        <is>
          <t>NYSE close, 5 October 2026. Yahoo Finance.</t>
        </is>
      </c>
    </row>
    <row r="8">
      <c r="A8" t="inlineStr">
        <is>
          <t>52-week high (intraday, 25 June 2026)</t>
        </is>
      </c>
      <c r="B8" s="13" t="n">
        <v>351.28</v>
      </c>
      <c r="C8" t="inlineStr">
        <is>
          <t>US$</t>
        </is>
      </c>
      <c r="D8" s="7" t="inlineStr">
        <is>
          <t>Yahoo Finance.</t>
        </is>
      </c>
    </row>
    <row r="9">
      <c r="A9" t="inlineStr">
        <is>
          <t>Highest close (22 June 2026)</t>
        </is>
      </c>
      <c r="B9" s="13" t="n">
        <v>345.85</v>
      </c>
      <c r="C9" t="inlineStr">
        <is>
          <t>US$</t>
        </is>
      </c>
      <c r="D9" s="7" t="inlineStr">
        <is>
          <t>Yahoo Finance.</t>
        </is>
      </c>
    </row>
    <row r="10">
      <c r="A10" t="inlineStr">
        <is>
          <t>Month-end close, 31 Dec 2025</t>
        </is>
      </c>
      <c r="B10" s="13" t="n">
        <v>86.89</v>
      </c>
      <c r="C10" t="inlineStr">
        <is>
          <t>US$</t>
        </is>
      </c>
      <c r="D10" s="7" t="inlineStr">
        <is>
          <t>Yahoo Finance.</t>
        </is>
      </c>
    </row>
    <row r="11">
      <c r="A11" t="inlineStr">
        <is>
          <t>Shares outstanding, 22 Jul 2026</t>
        </is>
      </c>
      <c r="B11" s="13" t="n">
        <v>0.294527</v>
      </c>
      <c r="C11" t="inlineStr">
        <is>
          <t>bn</t>
        </is>
      </c>
      <c r="D11" s="7" t="inlineStr">
        <is>
          <t>10-Q cover: 294,527,346.</t>
        </is>
      </c>
    </row>
    <row r="12">
      <c r="A12" t="inlineStr">
        <is>
          <t>Cash and equivalents, 30 Jun 2026</t>
        </is>
      </c>
      <c r="B12" s="13" t="n">
        <v>2.667</v>
      </c>
      <c r="C12" t="inlineStr">
        <is>
          <t>US$bn</t>
        </is>
      </c>
      <c r="D12" s="7" t="inlineStr">
        <is>
          <t>Q2 2026 release: 2,666.9m (excludes restricted cash).</t>
        </is>
      </c>
    </row>
    <row r="13">
      <c r="A13" t="inlineStr">
        <is>
          <t>Debt principal, 30 Jun 2026</t>
        </is>
      </c>
      <c r="B13" s="13" t="n">
        <v>2.53</v>
      </c>
      <c r="C13" t="inlineStr">
        <is>
          <t>US$bn</t>
        </is>
      </c>
      <c r="D13" s="7" t="inlineStr">
        <is>
          <t>10-Q: 0% 2030 notes 2,500.0m; Green 2029 27.0m; Green 2028 0.8m (redeemed 10 Jul); Korea loan 2.6m.</t>
        </is>
      </c>
    </row>
    <row r="14">
      <c r="A14" t="inlineStr">
        <is>
          <t>Financing obligations, 30 Jun 2026 (not in net cash)</t>
        </is>
      </c>
      <c r="B14" s="13" t="n">
        <v>0.206</v>
      </c>
      <c r="C14" t="inlineStr">
        <is>
          <t>US$bn</t>
        </is>
      </c>
      <c r="D14" s="7" t="inlineStr">
        <is>
          <t>Old sale-leaseback structures: 62.0m current + 144.4m long-term.</t>
        </is>
      </c>
    </row>
    <row r="15">
      <c r="A15" t="inlineStr">
        <is>
          <t>2026 consensus EPS</t>
        </is>
      </c>
      <c r="B15" s="13" t="n">
        <v>2.71</v>
      </c>
      <c r="C15" t="inlineStr">
        <is>
          <t>US$</t>
        </is>
      </c>
      <c r="D15" s="7" t="inlineStr">
        <is>
          <t>stockanalysis.com, 25 analysts, retrieved 6 October 2026.</t>
        </is>
      </c>
    </row>
    <row r="16">
      <c r="A16" t="inlineStr">
        <is>
          <t>2027 consensus EPS</t>
        </is>
      </c>
      <c r="B16" s="13" t="n">
        <v>4.33</v>
      </c>
      <c r="C16" t="inlineStr">
        <is>
          <t>US$</t>
        </is>
      </c>
      <c r="D16" s="7" t="inlineStr">
        <is>
          <t>Nasdaq.com (Zacks), 6 estimates.</t>
        </is>
      </c>
    </row>
    <row r="17">
      <c r="A17" t="inlineStr">
        <is>
          <t>2028 consensus EPS</t>
        </is>
      </c>
      <c r="B17" s="13" t="n">
        <v>7</v>
      </c>
      <c r="C17" t="inlineStr">
        <is>
          <t>US$</t>
        </is>
      </c>
      <c r="D17" s="7" t="inlineStr">
        <is>
          <t>Nasdaq.com (Zacks), 2 estimates.</t>
        </is>
      </c>
    </row>
    <row r="18">
      <c r="A18" t="inlineStr">
        <is>
          <t>Q3 2026 consensus EPS</t>
        </is>
      </c>
      <c r="B18" s="13" t="n">
        <v>0.57</v>
      </c>
      <c r="C18" t="inlineStr">
        <is>
          <t>US$</t>
        </is>
      </c>
      <c r="D18" s="7" t="inlineStr">
        <is>
          <t>Nasdaq.com (Zacks), 4 estimates.</t>
        </is>
      </c>
    </row>
    <row r="19">
      <c r="A19" t="inlineStr">
        <is>
          <t>Forward P/E shown by stockanalysis.com</t>
        </is>
      </c>
      <c r="B19" s="14" t="n">
        <v>83.47</v>
      </c>
      <c r="C19" t="inlineStr">
        <is>
          <t>x</t>
        </is>
      </c>
      <c r="D19" s="7" t="inlineStr">
        <is>
          <t>stockanalysis.com, 6 October 2026.</t>
        </is>
      </c>
    </row>
    <row r="20">
      <c r="A20" t="inlineStr">
        <is>
          <t>Average analyst target</t>
        </is>
      </c>
      <c r="B20" s="13" t="n">
        <v>282.82</v>
      </c>
      <c r="C20" t="inlineStr">
        <is>
          <t>US$</t>
        </is>
      </c>
      <c r="D20" s="7" t="inlineStr">
        <is>
          <t>stockanalysis.com, 29 analysts; median US$303, range US$97 to 390.</t>
        </is>
      </c>
    </row>
    <row r="21">
      <c r="A21" s="11" t="inlineStr">
        <is>
          <t>REPORTED (Bloom releases, Form 10-K, Form 10-Q)</t>
        </is>
      </c>
    </row>
    <row r="22">
      <c r="A22" t="inlineStr">
        <is>
          <t>Revenue, H1 2026</t>
        </is>
      </c>
      <c r="B22" s="13" t="n">
        <v>1.8164</v>
      </c>
      <c r="C22" t="inlineStr">
        <is>
          <t>US$bn</t>
        </is>
      </c>
      <c r="D22" s="7" t="inlineStr">
        <is>
          <t>Q2 2026 release: 751.1 + 1,065.4.</t>
        </is>
      </c>
    </row>
    <row r="23">
      <c r="A23" t="inlineStr">
        <is>
          <t>Non-GAAP gross profit, H1 2026</t>
        </is>
      </c>
      <c r="B23" s="13" t="n">
        <v>0.6017</v>
      </c>
      <c r="C23" t="inlineStr">
        <is>
          <t>US$bn</t>
        </is>
      </c>
      <c r="D23" s="7" t="inlineStr">
        <is>
          <t>Q2 2026 release: 236.3 + 365.4.</t>
        </is>
      </c>
    </row>
    <row r="24">
      <c r="A24" t="inlineStr">
        <is>
          <t>Non-GAAP operating expenses, H1 2026</t>
        </is>
      </c>
      <c r="B24" s="13" t="n">
        <v>0.2323</v>
      </c>
      <c r="C24" t="inlineStr">
        <is>
          <t>US$bn</t>
        </is>
      </c>
      <c r="D24" s="7" t="inlineStr">
        <is>
          <t>Q2 2026 release: 106.6 + 125.7.</t>
        </is>
      </c>
    </row>
    <row r="25">
      <c r="A25" t="inlineStr">
        <is>
          <t>Non-GAAP operating income, H1 2026</t>
        </is>
      </c>
      <c r="B25" s="13" t="n">
        <v>0.3694</v>
      </c>
      <c r="C25" t="inlineStr">
        <is>
          <t>US$bn</t>
        </is>
      </c>
      <c r="D25" s="7" t="inlineStr">
        <is>
          <t>Q2 2026 release: 129.7 + 239.6.</t>
        </is>
      </c>
    </row>
    <row r="26">
      <c r="A26" t="inlineStr">
        <is>
          <t>Adjusted net profit, H1 2026</t>
        </is>
      </c>
      <c r="B26" s="13" t="n">
        <v>0.3863</v>
      </c>
      <c r="C26" t="inlineStr">
        <is>
          <t>US$bn</t>
        </is>
      </c>
      <c r="D26" s="7" t="inlineStr">
        <is>
          <t>Q2 2026 release: 138.1 + 248.2.</t>
        </is>
      </c>
    </row>
    <row r="27">
      <c r="A27" t="inlineStr">
        <is>
          <t>Non-GAAP diluted EPS, H1 2026</t>
        </is>
      </c>
      <c r="B27" s="13" t="n">
        <v>1.22</v>
      </c>
      <c r="C27" t="inlineStr">
        <is>
          <t>US$</t>
        </is>
      </c>
      <c r="D27" s="7" t="inlineStr">
        <is>
          <t>Q2 2026 release: 0.44 + 0.78.</t>
        </is>
      </c>
    </row>
    <row r="28">
      <c r="A28" t="inlineStr">
        <is>
          <t>2026 revenue guide, low</t>
        </is>
      </c>
      <c r="B28" s="13" t="n">
        <v>3.9</v>
      </c>
      <c r="C28" t="inlineStr">
        <is>
          <t>US$bn</t>
        </is>
      </c>
      <c r="D28" s="7" t="inlineStr">
        <is>
          <t>Release of 28 July 2026.</t>
        </is>
      </c>
    </row>
    <row r="29">
      <c r="A29" t="inlineStr">
        <is>
          <t>2026 revenue guide, high</t>
        </is>
      </c>
      <c r="B29" s="13" t="n">
        <v>4.2</v>
      </c>
      <c r="C29" t="inlineStr">
        <is>
          <t>US$bn</t>
        </is>
      </c>
      <c r="D29" s="7" t="inlineStr">
        <is>
          <t>Same.</t>
        </is>
      </c>
    </row>
    <row r="30">
      <c r="A30" t="inlineStr">
        <is>
          <t>2026 non-GAAP EPS guide, low</t>
        </is>
      </c>
      <c r="B30" s="13" t="n">
        <v>2.55</v>
      </c>
      <c r="C30" t="inlineStr">
        <is>
          <t>US$</t>
        </is>
      </c>
      <c r="D30" s="7" t="inlineStr">
        <is>
          <t>Same.</t>
        </is>
      </c>
    </row>
    <row r="31">
      <c r="A31" t="inlineStr">
        <is>
          <t>2026 non-GAAP EPS guide, high</t>
        </is>
      </c>
      <c r="B31" s="13" t="n">
        <v>2.85</v>
      </c>
      <c r="C31" t="inlineStr">
        <is>
          <t>US$</t>
        </is>
      </c>
      <c r="D31" s="7" t="inlineStr">
        <is>
          <t>Same.</t>
        </is>
      </c>
    </row>
    <row r="32">
      <c r="A32" t="inlineStr">
        <is>
          <t>2026 non-GAAP operating income guide, low</t>
        </is>
      </c>
      <c r="B32" s="13" t="n">
        <v>0.8</v>
      </c>
      <c r="C32" t="inlineStr">
        <is>
          <t>US$bn</t>
        </is>
      </c>
      <c r="D32" s="7" t="inlineStr">
        <is>
          <t>Same.</t>
        </is>
      </c>
    </row>
    <row r="33">
      <c r="A33" t="inlineStr">
        <is>
          <t>2026 non-GAAP operating income guide, high</t>
        </is>
      </c>
      <c r="B33" s="13" t="n">
        <v>0.9</v>
      </c>
      <c r="C33" t="inlineStr">
        <is>
          <t>US$bn</t>
        </is>
      </c>
      <c r="D33" s="7" t="inlineStr">
        <is>
          <t>Same.</t>
        </is>
      </c>
    </row>
    <row r="34">
      <c r="A34" t="inlineStr">
        <is>
          <t>Stock-based compensation in operating costs, Q2 2026</t>
        </is>
      </c>
      <c r="B34" s="13" t="n">
        <v>0.0564</v>
      </c>
      <c r="C34" t="inlineStr">
        <is>
          <t>US$bn</t>
        </is>
      </c>
      <c r="D34" s="7" t="inlineStr">
        <is>
          <t>Q2 2026 reconciliation: 56.4m.</t>
        </is>
      </c>
    </row>
    <row r="35">
      <c r="A35" t="inlineStr">
        <is>
          <t>Non-GAAP operating income, Q2 2026</t>
        </is>
      </c>
      <c r="B35" s="13" t="n">
        <v>0.2396</v>
      </c>
      <c r="C35" t="inlineStr">
        <is>
          <t>US$bn</t>
        </is>
      </c>
      <c r="D35" s="7" t="inlineStr">
        <is>
          <t>Q2 2026 release.</t>
        </is>
      </c>
    </row>
    <row r="36">
      <c r="A36" t="inlineStr">
        <is>
          <t>AEP order value</t>
        </is>
      </c>
      <c r="B36" s="13" t="n">
        <v>2.65</v>
      </c>
      <c r="C36" t="inlineStr">
        <is>
          <t>US$bn</t>
        </is>
      </c>
      <c r="D36" s="7" t="inlineStr">
        <is>
          <t>Exercise of most of AEP's 900 MW option, reported 8 January 2026.</t>
        </is>
      </c>
    </row>
    <row r="37">
      <c r="A37" t="inlineStr">
        <is>
          <t>AEP option size</t>
        </is>
      </c>
      <c r="B37" s="13" t="n">
        <v>0.9</v>
      </c>
      <c r="C37" t="inlineStr">
        <is>
          <t>GW</t>
        </is>
      </c>
      <c r="D37" s="7" t="inlineStr">
        <is>
          <t>900 MW balance of AEP's 1 GW agreement (Nov 2024).</t>
        </is>
      </c>
    </row>
    <row r="38">
      <c r="A38" t="inlineStr">
        <is>
          <t>Fremont annual capacity, end-2026 plan</t>
        </is>
      </c>
      <c r="B38" s="13" t="n">
        <v>2</v>
      </c>
      <c r="C38" t="inlineStr">
        <is>
          <t>GW</t>
        </is>
      </c>
      <c r="D38" s="7" t="inlineStr">
        <is>
          <t>Form 10-K for 2025: doubling from 1 GW to 2 GW by end of 2026.</t>
        </is>
      </c>
    </row>
    <row r="39">
      <c r="A39" s="11" t="inlineStr">
        <is>
          <t>MY ASSUMPTIONS</t>
        </is>
      </c>
    </row>
    <row r="40">
      <c r="A40" t="inlineStr">
        <is>
          <t>Revenue, Q3 2026</t>
        </is>
      </c>
      <c r="B40" s="15" t="n">
        <v>1.05</v>
      </c>
      <c r="C40" t="inlineStr">
        <is>
          <t>US$bn</t>
        </is>
      </c>
      <c r="D40" s="7" t="inlineStr">
        <is>
          <t>MINE. Guide implies H2 of US$2.08 to 2.38bn.</t>
        </is>
      </c>
    </row>
    <row r="41">
      <c r="A41" t="inlineStr">
        <is>
          <t>Revenue, Q4 2026</t>
        </is>
      </c>
      <c r="B41" s="15" t="n">
        <v>1.2</v>
      </c>
      <c r="C41" t="inlineStr">
        <is>
          <t>US$bn</t>
        </is>
      </c>
      <c r="D41" s="7" t="inlineStr">
        <is>
          <t>MINE.</t>
        </is>
      </c>
    </row>
    <row r="42">
      <c r="A42" t="inlineStr">
        <is>
          <t>Non-GAAP gross margin, Q3 2026</t>
        </is>
      </c>
      <c r="B42" s="16" t="n">
        <v>0.345</v>
      </c>
      <c r="C42" t="inlineStr">
        <is>
          <t>%</t>
        </is>
      </c>
      <c r="D42" s="7" t="inlineStr">
        <is>
          <t>MINE. Guide about 34% for the year; H1 33.1%.</t>
        </is>
      </c>
    </row>
    <row r="43">
      <c r="A43" t="inlineStr">
        <is>
          <t>Non-GAAP gross margin, Q4 2026</t>
        </is>
      </c>
      <c r="B43" s="16" t="n">
        <v>0.345</v>
      </c>
      <c r="C43" t="inlineStr">
        <is>
          <t>%</t>
        </is>
      </c>
      <c r="D43" s="7" t="inlineStr">
        <is>
          <t>MINE.</t>
        </is>
      </c>
    </row>
    <row r="44">
      <c r="A44" t="inlineStr">
        <is>
          <t>Non-GAAP operating expenses, Q3 2026</t>
        </is>
      </c>
      <c r="B44" s="15" t="n">
        <v>0.135</v>
      </c>
      <c r="C44" t="inlineStr">
        <is>
          <t>US$bn</t>
        </is>
      </c>
      <c r="D44" s="7" t="inlineStr">
        <is>
          <t>MINE. Q2: 0.126.</t>
        </is>
      </c>
    </row>
    <row r="45">
      <c r="A45" t="inlineStr">
        <is>
          <t>Non-GAAP operating expenses, Q4 2026</t>
        </is>
      </c>
      <c r="B45" s="15" t="n">
        <v>0.145</v>
      </c>
      <c r="C45" t="inlineStr">
        <is>
          <t>US$bn</t>
        </is>
      </c>
      <c r="D45" s="7" t="inlineStr">
        <is>
          <t>MINE.</t>
        </is>
      </c>
    </row>
    <row r="46">
      <c r="A46" t="inlineStr">
        <is>
          <t>Adjusted net profit less non-GAAP operating income, per quarter, before tax</t>
        </is>
      </c>
      <c r="B46" s="15" t="n">
        <v>0.008</v>
      </c>
      <c r="C46" t="inlineStr">
        <is>
          <t>US$bn</t>
        </is>
      </c>
      <c r="D46" s="7" t="inlineStr">
        <is>
          <t>MINE. Q1 and Q2 2026: about 0.008 (net interest income).</t>
        </is>
      </c>
    </row>
    <row r="47">
      <c r="A47" t="inlineStr">
        <is>
          <t>Same, per year, 2027 and 2028</t>
        </is>
      </c>
      <c r="B47" s="15" t="n">
        <v>0.035</v>
      </c>
      <c r="C47" t="inlineStr">
        <is>
          <t>US$bn</t>
        </is>
      </c>
      <c r="D47" s="7" t="inlineStr">
        <is>
          <t>MINE.</t>
        </is>
      </c>
    </row>
    <row r="48">
      <c r="A48" t="inlineStr">
        <is>
          <t>Non-GAAP tax rate, H2 2026</t>
        </is>
      </c>
      <c r="B48" s="16" t="n">
        <v>0.01</v>
      </c>
      <c r="C48" t="inlineStr">
        <is>
          <t>%</t>
        </is>
      </c>
      <c r="D48" s="7" t="inlineStr">
        <is>
          <t>MINE. H1 2026 effective rate 0.7% (valuation allowance).</t>
        </is>
      </c>
    </row>
    <row r="49">
      <c r="A49" t="inlineStr">
        <is>
          <t>Non-GAAP tax rate, 2027</t>
        </is>
      </c>
      <c r="B49" s="16" t="n">
        <v>0.1</v>
      </c>
      <c r="C49" t="inlineStr">
        <is>
          <t>%</t>
        </is>
      </c>
      <c r="D49" s="7" t="inlineStr">
        <is>
          <t>MINE. Losses carried forward run down.</t>
        </is>
      </c>
    </row>
    <row r="50">
      <c r="A50" t="inlineStr">
        <is>
          <t>Non-GAAP tax rate, 2028</t>
        </is>
      </c>
      <c r="B50" s="16" t="n">
        <v>0.15</v>
      </c>
      <c r="C50" t="inlineStr">
        <is>
          <t>%</t>
        </is>
      </c>
      <c r="D50" s="7" t="inlineStr">
        <is>
          <t>MINE.</t>
        </is>
      </c>
    </row>
    <row r="51">
      <c r="A51" t="inlineStr">
        <is>
          <t>Net new shares a year from staff awards</t>
        </is>
      </c>
      <c r="B51" s="16" t="n">
        <v>0.015</v>
      </c>
      <c r="C51" t="inlineStr">
        <is>
          <t>%</t>
        </is>
      </c>
      <c r="D51" s="7" t="inlineStr">
        <is>
          <t>MINE.</t>
        </is>
      </c>
    </row>
    <row r="52">
      <c r="A52" t="inlineStr">
        <is>
          <t>Product share of revenue, for megawatt conversion</t>
        </is>
      </c>
      <c r="B52" s="16" t="n">
        <v>0.875</v>
      </c>
      <c r="C52" t="inlineStr">
        <is>
          <t>%</t>
        </is>
      </c>
      <c r="D52" s="7" t="inlineStr">
        <is>
          <t>MINE. H1 2026: 87.5%.</t>
        </is>
      </c>
    </row>
    <row r="53">
      <c r="A53" t="inlineStr">
        <is>
          <t>Target multiple on 2028E EPS (base)</t>
        </is>
      </c>
      <c r="B53" s="17" t="n">
        <v>40</v>
      </c>
      <c r="C53" t="inlineStr">
        <is>
          <t>x</t>
        </is>
      </c>
      <c r="D53" s="7" t="inlineStr">
        <is>
          <t>MINE. Below GE Vernova, above Vertiv (Peers tab).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6" customWidth="1" min="1" max="1"/>
    <col width="16" customWidth="1" min="2" max="2"/>
    <col width="70" customWidth="1" min="3" max="3"/>
  </cols>
  <sheetData>
    <row r="1">
      <c r="A1" s="1" t="inlineStr">
        <is>
          <t>SHARE COUNT, COUNTED FULLY DILUTED</t>
        </is>
      </c>
    </row>
    <row r="2">
      <c r="A2" s="2" t="inlineStr">
        <is>
          <t>Tommy Lau | Bloom Energy (NYSE: BE) | 6 October 2026 | Non-GAAP basis | Personal research, not investment advice.</t>
        </is>
      </c>
    </row>
    <row r="4">
      <c r="A4" s="3" t="inlineStr">
        <is>
          <t>Line</t>
        </is>
      </c>
      <c r="B4" s="4" t="inlineStr">
        <is>
          <t>Value</t>
        </is>
      </c>
      <c r="C4" s="4" t="inlineStr">
        <is>
          <t>Working / note</t>
        </is>
      </c>
    </row>
    <row r="5">
      <c r="A5" t="inlineStr">
        <is>
          <t>Shares outstanding, 22 Jul 2026, bn</t>
        </is>
      </c>
      <c r="B5" s="18">
        <f>Assumptions!$B$11</f>
        <v/>
      </c>
      <c r="C5" s="7" t="inlineStr">
        <is>
          <t>10-Q cover.</t>
        </is>
      </c>
    </row>
    <row r="6">
      <c r="A6" t="inlineStr">
        <is>
          <t>0% notes due Nov 2030, principal, US$bn</t>
        </is>
      </c>
      <c r="B6" s="13" t="n">
        <v>2.5</v>
      </c>
      <c r="C6" s="7" t="inlineStr">
        <is>
          <t>Issued 4 Nov 2025.</t>
        </is>
      </c>
    </row>
    <row r="7">
      <c r="A7" t="inlineStr">
        <is>
          <t>Conversion rate, shares per US$1,000</t>
        </is>
      </c>
      <c r="B7" s="19" t="n">
        <v>5.129</v>
      </c>
      <c r="C7" s="7" t="inlineStr">
        <is>
          <t>Conversion price US$194.97.</t>
        </is>
      </c>
    </row>
    <row r="8">
      <c r="A8" t="inlineStr">
        <is>
          <t>Shares on conversion, bn</t>
        </is>
      </c>
      <c r="B8" s="18">
        <f>B6*B7/1000</f>
        <v/>
      </c>
      <c r="C8" s="7" t="inlineStr">
        <is>
          <t>Up to 19.554m after a make-whole fundamental change.</t>
        </is>
      </c>
    </row>
    <row r="9">
      <c r="A9" t="inlineStr">
        <is>
          <t>3.0% Green notes due Jun 2029, principal outstanding, US$bn</t>
        </is>
      </c>
      <c r="B9" s="13" t="n">
        <v>0.026971</v>
      </c>
      <c r="C9" s="7" t="inlineStr">
        <is>
          <t>After US$147m of Green notes converted in H1 2026.</t>
        </is>
      </c>
    </row>
    <row r="10">
      <c r="A10" t="inlineStr">
        <is>
          <t>Conversion rate, shares per US$1,000</t>
        </is>
      </c>
      <c r="B10" s="19" t="n">
        <v>47.9795</v>
      </c>
      <c r="C10" s="7" t="inlineStr">
        <is>
          <t>Conversion price US$20.84.</t>
        </is>
      </c>
    </row>
    <row r="11">
      <c r="A11" t="inlineStr">
        <is>
          <t>Shares on conversion, bn</t>
        </is>
      </c>
      <c r="B11" s="18">
        <f>B9*B10/1000</f>
        <v/>
      </c>
      <c r="C11" s="7" t="inlineStr"/>
    </row>
    <row r="12">
      <c r="A12" t="inlineStr">
        <is>
          <t>Stock options and awards in the Q2 2026 diluted count, bn</t>
        </is>
      </c>
      <c r="B12" s="13" t="n">
        <v>0.016022</v>
      </c>
      <c r="C12" s="7" t="inlineStr">
        <is>
          <t>10-Q Note 15, treasury stock method.</t>
        </is>
      </c>
    </row>
    <row r="13">
      <c r="A13" t="inlineStr">
        <is>
          <t>Fully diluted shares, bn</t>
        </is>
      </c>
      <c r="B13" s="18">
        <f>B5+B8+B11+B12</f>
        <v/>
      </c>
      <c r="C13" s="7" t="inlineStr">
        <is>
          <t>Used for H2 2026 EPS; Q2 2026 reported diluted: 323.3m.</t>
        </is>
      </c>
    </row>
    <row r="14">
      <c r="A14" t="inlineStr">
        <is>
          <t>Note conversions against shares outstanding</t>
        </is>
      </c>
      <c r="B14" s="20">
        <f>(B8+B11)/B5</f>
        <v/>
      </c>
      <c r="C14" s="7" t="inlineStr"/>
    </row>
    <row r="16">
      <c r="A16" t="inlineStr">
        <is>
          <t>Early-conversion trigger price (130% of US$194.97), US$</t>
        </is>
      </c>
      <c r="B16" s="21">
        <f>1.3*194.97</f>
        <v/>
      </c>
      <c r="C16" s="7" t="inlineStr">
        <is>
          <t>20 of the last 30 trading days of a quarter.</t>
        </is>
      </c>
    </row>
    <row r="17">
      <c r="A17" t="inlineStr">
        <is>
          <t>Q3 2026 trading days of the last 30 closing above it</t>
        </is>
      </c>
      <c r="B17" s="22" t="n">
        <v>17</v>
      </c>
      <c r="C17" s="7" t="inlineStr">
        <is>
          <t>My count of Yahoo Finance closes; 20 needed. Not verified against the trustee.</t>
        </is>
      </c>
    </row>
    <row r="18">
      <c r="A18" t="inlineStr">
        <is>
          <t>Stock-based compensation, Q2 2026, US$bn</t>
        </is>
      </c>
      <c r="B18" s="18">
        <f>Assumptions!$B$34</f>
        <v/>
      </c>
      <c r="C18" s="7" t="inlineStr">
        <is>
          <t>Excluded from non-GAAP figures.</t>
        </is>
      </c>
    </row>
    <row r="19">
      <c r="A19" t="inlineStr">
        <is>
          <t>Against non-GAAP operating income, Q2 2026</t>
        </is>
      </c>
      <c r="B19" s="20">
        <f>B18/Assumptions!$B$35</f>
        <v/>
      </c>
      <c r="C19" s="7" t="inlineStr"/>
    </row>
    <row r="20">
      <c r="A20" t="inlineStr">
        <is>
          <t>Oracle warrant: shares issued on exercise, m</t>
        </is>
      </c>
      <c r="B20" s="23" t="n">
        <v>2.154231</v>
      </c>
      <c r="C20" s="7" t="inlineStr">
        <is>
          <t>1,905,433 on net exercise plus 248,798 inducement shares, 1 May 2026.</t>
        </is>
      </c>
    </row>
    <row r="21">
      <c r="A21" t="inlineStr">
        <is>
          <t>Oracle warrant: value to come off revenue, US$bn</t>
        </is>
      </c>
      <c r="B21" s="13" t="n">
        <v>0.3244</v>
      </c>
      <c r="C21" s="7" t="inlineStr">
        <is>
          <t>Amortised as Oracle's systems are delivered; US$17.9m so far.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QUARTERLY HISTORY, Q1 2024 TO Q2 2026, AND MY Q3 / Q4 2026</t>
        </is>
      </c>
    </row>
    <row r="2">
      <c r="A2" s="2" t="inlineStr">
        <is>
          <t>Tommy Lau | Bloom Energy (NYSE: BE) | 6 October 2026 | Non-GAAP basis | Personal research, not investment advice.</t>
        </is>
      </c>
    </row>
    <row r="4">
      <c r="A4" s="3" t="inlineStr">
        <is>
          <t>US$ billion unless stated</t>
        </is>
      </c>
      <c r="B4" s="4" t="inlineStr">
        <is>
          <t>Q1 24</t>
        </is>
      </c>
      <c r="C4" s="4" t="inlineStr">
        <is>
          <t>Q2 24</t>
        </is>
      </c>
      <c r="D4" s="4" t="inlineStr">
        <is>
          <t>Q3 24</t>
        </is>
      </c>
      <c r="E4" s="4" t="inlineStr">
        <is>
          <t>Q4 24</t>
        </is>
      </c>
      <c r="F4" s="4" t="inlineStr">
        <is>
          <t>Q1 25</t>
        </is>
      </c>
      <c r="G4" s="4" t="inlineStr">
        <is>
          <t>Q2 25</t>
        </is>
      </c>
      <c r="H4" s="4" t="inlineStr">
        <is>
          <t>Q3 25</t>
        </is>
      </c>
      <c r="I4" s="4" t="inlineStr">
        <is>
          <t>Q4 25</t>
        </is>
      </c>
      <c r="J4" s="4" t="inlineStr">
        <is>
          <t>Q1 26</t>
        </is>
      </c>
      <c r="K4" s="4" t="inlineStr">
        <is>
          <t>Q2 26</t>
        </is>
      </c>
      <c r="L4" s="4" t="inlineStr">
        <is>
          <t>Q3 26E</t>
        </is>
      </c>
      <c r="M4" s="4" t="inlineStr">
        <is>
          <t>Q4 26E</t>
        </is>
      </c>
    </row>
    <row r="5">
      <c r="A5" s="5" t="inlineStr">
        <is>
          <t>Revenue</t>
        </is>
      </c>
      <c r="B5" s="24" t="n">
        <v>0.2353</v>
      </c>
      <c r="C5" s="24" t="n">
        <v>0.3358</v>
      </c>
      <c r="D5" s="24" t="n">
        <v>0.3304</v>
      </c>
      <c r="E5" s="24" t="n">
        <v>0.5724</v>
      </c>
      <c r="F5" s="24" t="n">
        <v>0.326</v>
      </c>
      <c r="G5" s="24" t="n">
        <v>0.4012</v>
      </c>
      <c r="H5" s="24" t="n">
        <v>0.519</v>
      </c>
      <c r="I5" s="24" t="n">
        <v>0.7777000000000001</v>
      </c>
      <c r="J5" s="24" t="n">
        <v>0.7511</v>
      </c>
      <c r="K5" s="24" t="n">
        <v>1.0654</v>
      </c>
      <c r="L5" s="25">
        <f>Assumptions!$B$40</f>
        <v/>
      </c>
      <c r="M5" s="25">
        <f>Assumptions!$B$41</f>
        <v/>
      </c>
    </row>
    <row r="6">
      <c r="A6" s="26" t="inlineStr">
        <is>
          <t>Product revenue</t>
        </is>
      </c>
      <c r="B6" s="24" t="n">
        <v>0.1534</v>
      </c>
      <c r="C6" s="24" t="n">
        <v>0.2263</v>
      </c>
      <c r="D6" s="24" t="n">
        <v>0.2338</v>
      </c>
      <c r="E6" s="24" t="n">
        <v>0.4717</v>
      </c>
      <c r="F6" s="24" t="n">
        <v>0.2119</v>
      </c>
      <c r="G6" s="24" t="n">
        <v>0.2966</v>
      </c>
      <c r="H6" s="24" t="n">
        <v>0.3843</v>
      </c>
      <c r="I6" s="24" t="n">
        <v>0.6385</v>
      </c>
      <c r="J6" s="24" t="n">
        <v>0.6533</v>
      </c>
      <c r="K6" s="24" t="n">
        <v>0.9354</v>
      </c>
      <c r="L6" s="25" t="inlineStr"/>
      <c r="M6" s="25" t="inlineStr"/>
    </row>
    <row r="7">
      <c r="A7" s="26" t="inlineStr">
        <is>
          <t>Product cost of revenue</t>
        </is>
      </c>
      <c r="B7" s="24" t="n">
        <v>0.1158</v>
      </c>
      <c r="C7" s="24" t="n">
        <v>0.1613</v>
      </c>
      <c r="D7" s="24" t="n">
        <v>0.1551</v>
      </c>
      <c r="E7" s="24" t="n">
        <v>0.2536</v>
      </c>
      <c r="F7" s="24" t="n">
        <v>0.1396</v>
      </c>
      <c r="G7" s="24" t="n">
        <v>0.1987</v>
      </c>
      <c r="H7" s="24" t="n">
        <v>0.2498</v>
      </c>
      <c r="I7" s="24" t="n">
        <v>0.4047</v>
      </c>
      <c r="J7" s="24" t="n">
        <v>0.4292</v>
      </c>
      <c r="K7" s="24" t="n">
        <v>0.594</v>
      </c>
      <c r="L7" s="25" t="inlineStr"/>
      <c r="M7" s="25" t="inlineStr"/>
    </row>
    <row r="8">
      <c r="A8" s="5" t="inlineStr">
        <is>
          <t>Product gross margin, GAAP (derived)</t>
        </is>
      </c>
      <c r="B8" s="27">
        <f>(B6-B7)/B6</f>
        <v/>
      </c>
      <c r="C8" s="27">
        <f>(C6-C7)/C6</f>
        <v/>
      </c>
      <c r="D8" s="27">
        <f>(D6-D7)/D6</f>
        <v/>
      </c>
      <c r="E8" s="27">
        <f>(E6-E7)/E6</f>
        <v/>
      </c>
      <c r="F8" s="27">
        <f>(F6-F7)/F6</f>
        <v/>
      </c>
      <c r="G8" s="27">
        <f>(G6-G7)/G6</f>
        <v/>
      </c>
      <c r="H8" s="27">
        <f>(H6-H7)/H6</f>
        <v/>
      </c>
      <c r="I8" s="27">
        <f>(I6-I7)/I6</f>
        <v/>
      </c>
      <c r="J8" s="27">
        <f>(J6-J7)/J6</f>
        <v/>
      </c>
      <c r="K8" s="27">
        <f>(K6-K7)/K6</f>
        <v/>
      </c>
      <c r="L8" s="27" t="inlineStr"/>
      <c r="M8" s="27" t="inlineStr"/>
    </row>
    <row r="9">
      <c r="A9" s="26" t="inlineStr">
        <is>
          <t>Service revenue</t>
        </is>
      </c>
      <c r="B9" s="24" t="n">
        <v>0.0565</v>
      </c>
      <c r="C9" s="24" t="n">
        <v>0.0525</v>
      </c>
      <c r="D9" s="24" t="n">
        <v>0.0508</v>
      </c>
      <c r="E9" s="24" t="n">
        <v>0.0538</v>
      </c>
      <c r="F9" s="24" t="n">
        <v>0.0535</v>
      </c>
      <c r="G9" s="24" t="n">
        <v>0.0544</v>
      </c>
      <c r="H9" s="24" t="n">
        <v>0.0586</v>
      </c>
      <c r="I9" s="24" t="n">
        <v>0.0617</v>
      </c>
      <c r="J9" s="24" t="n">
        <v>0.0619</v>
      </c>
      <c r="K9" s="24" t="n">
        <v>0.06900000000000001</v>
      </c>
      <c r="L9" s="25" t="inlineStr"/>
      <c r="M9" s="25" t="inlineStr"/>
    </row>
    <row r="10">
      <c r="A10" s="26" t="inlineStr">
        <is>
          <t>Service cost of revenue</t>
        </is>
      </c>
      <c r="B10" s="24" t="n">
        <v>0.0565</v>
      </c>
      <c r="C10" s="24" t="n">
        <v>0.0524</v>
      </c>
      <c r="D10" s="24" t="n">
        <v>0.0514</v>
      </c>
      <c r="E10" s="24" t="n">
        <v>0.05470000000000001</v>
      </c>
      <c r="F10" s="24" t="n">
        <v>0.0529</v>
      </c>
      <c r="G10" s="24" t="n">
        <v>0.0494</v>
      </c>
      <c r="H10" s="24" t="n">
        <v>0.0518</v>
      </c>
      <c r="I10" s="24" t="n">
        <v>0.0513</v>
      </c>
      <c r="J10" s="24" t="n">
        <v>0.0537</v>
      </c>
      <c r="K10" s="24" t="n">
        <v>0.0561</v>
      </c>
      <c r="L10" s="25" t="inlineStr"/>
      <c r="M10" s="25" t="inlineStr"/>
    </row>
    <row r="11">
      <c r="A11" s="26" t="inlineStr">
        <is>
          <t>Service gross margin, GAAP (derived)</t>
        </is>
      </c>
      <c r="B11" s="27">
        <f>(B9-B10)/B9</f>
        <v/>
      </c>
      <c r="C11" s="27">
        <f>(C9-C10)/C9</f>
        <v/>
      </c>
      <c r="D11" s="27">
        <f>(D9-D10)/D9</f>
        <v/>
      </c>
      <c r="E11" s="27">
        <f>(E9-E10)/E9</f>
        <v/>
      </c>
      <c r="F11" s="27">
        <f>(F9-F10)/F9</f>
        <v/>
      </c>
      <c r="G11" s="27">
        <f>(G9-G10)/G9</f>
        <v/>
      </c>
      <c r="H11" s="27">
        <f>(H9-H10)/H9</f>
        <v/>
      </c>
      <c r="I11" s="27">
        <f>(I9-I10)/I9</f>
        <v/>
      </c>
      <c r="J11" s="27">
        <f>(J9-J10)/J9</f>
        <v/>
      </c>
      <c r="K11" s="27">
        <f>(K9-K10)/K9</f>
        <v/>
      </c>
      <c r="L11" s="27" t="inlineStr"/>
      <c r="M11" s="27" t="inlineStr"/>
    </row>
    <row r="12">
      <c r="A12" s="26" t="inlineStr">
        <is>
          <t>Gross margin, GAAP (reported)</t>
        </is>
      </c>
      <c r="B12" s="28" t="n">
        <v>0.162</v>
      </c>
      <c r="C12" s="28" t="n">
        <v>0.204</v>
      </c>
      <c r="D12" s="28" t="n">
        <v>0.238</v>
      </c>
      <c r="E12" s="28" t="n">
        <v>0.383</v>
      </c>
      <c r="F12" s="28" t="n">
        <v>0.272</v>
      </c>
      <c r="G12" s="28" t="n">
        <v>0.267</v>
      </c>
      <c r="H12" s="28" t="n">
        <v>0.292</v>
      </c>
      <c r="I12" s="28" t="n">
        <v>0.308</v>
      </c>
      <c r="J12" s="28" t="n">
        <v>0.3</v>
      </c>
      <c r="K12" s="28" t="n">
        <v>0.334</v>
      </c>
      <c r="L12" s="27" t="inlineStr"/>
      <c r="M12" s="27" t="inlineStr"/>
    </row>
    <row r="13">
      <c r="A13" s="5" t="inlineStr">
        <is>
          <t>Gross margin, non-GAAP (reported; Q3 / Q4 26 mine)</t>
        </is>
      </c>
      <c r="B13" s="28" t="n">
        <v>0.175</v>
      </c>
      <c r="C13" s="28" t="n">
        <v>0.218</v>
      </c>
      <c r="D13" s="28" t="n">
        <v>0.252</v>
      </c>
      <c r="E13" s="28" t="n">
        <v>0.393</v>
      </c>
      <c r="F13" s="28" t="n">
        <v>0.287</v>
      </c>
      <c r="G13" s="28" t="n">
        <v>0.282</v>
      </c>
      <c r="H13" s="28" t="n">
        <v>0.304</v>
      </c>
      <c r="I13" s="28" t="n">
        <v>0.319</v>
      </c>
      <c r="J13" s="28" t="n">
        <v>0.315</v>
      </c>
      <c r="K13" s="28" t="n">
        <v>0.343</v>
      </c>
      <c r="L13" s="27">
        <f>Assumptions!$B$42</f>
        <v/>
      </c>
      <c r="M13" s="27">
        <f>Assumptions!$B$43</f>
        <v/>
      </c>
    </row>
    <row r="14">
      <c r="A14" s="26" t="inlineStr">
        <is>
          <t>Non-GAAP operating income (Q3 / Q4 26 mine)</t>
        </is>
      </c>
      <c r="B14" s="25" t="inlineStr"/>
      <c r="C14" s="25" t="inlineStr"/>
      <c r="D14" s="25" t="inlineStr"/>
      <c r="E14" s="25" t="inlineStr"/>
      <c r="F14" s="25" t="inlineStr"/>
      <c r="G14" s="25" t="inlineStr"/>
      <c r="H14" s="25" t="inlineStr"/>
      <c r="I14" s="25" t="inlineStr"/>
      <c r="J14" s="25" t="inlineStr"/>
      <c r="K14" s="25" t="inlineStr"/>
      <c r="L14" s="25">
        <f>L5*L13-Assumptions!$B$44</f>
        <v/>
      </c>
      <c r="M14" s="25">
        <f>M5*M13-Assumptions!$B$45</f>
        <v/>
      </c>
    </row>
    <row r="15">
      <c r="A15" s="5" t="inlineStr">
        <is>
          <t>Non-GAAP diluted EPS, US$ (reported; Q3 / Q4 26 mine)</t>
        </is>
      </c>
      <c r="B15" s="29" t="n">
        <v>-0.17</v>
      </c>
      <c r="C15" s="29" t="n">
        <v>-0.06</v>
      </c>
      <c r="D15" s="29" t="n">
        <v>-0.01</v>
      </c>
      <c r="E15" s="29" t="n">
        <v>0.43</v>
      </c>
      <c r="F15" s="29" t="n">
        <v>0.03</v>
      </c>
      <c r="G15" s="29" t="n">
        <v>0.1</v>
      </c>
      <c r="H15" s="29" t="n">
        <v>0.15</v>
      </c>
      <c r="I15" s="29" t="n">
        <v>0.45</v>
      </c>
      <c r="J15" s="29" t="n">
        <v>0.44</v>
      </c>
      <c r="K15" s="29" t="n">
        <v>0.78</v>
      </c>
      <c r="L15" s="30">
        <f>(L14+Assumptions!$B$46)*(1-Assumptions!$B$48)/Dilution!$B$13</f>
        <v/>
      </c>
      <c r="M15" s="30">
        <f>(M14+Assumptions!$B$46)*(1-Assumptions!$B$48)/Dilution!$B$13</f>
        <v/>
      </c>
    </row>
    <row r="16">
      <c r="A16" s="26" t="inlineStr">
        <is>
          <t>Revenue to related parties</t>
        </is>
      </c>
      <c r="B16" s="24" t="n">
        <v>0.1222</v>
      </c>
      <c r="C16" s="24" t="n">
        <v>0.0868</v>
      </c>
      <c r="D16" s="24" t="n">
        <v>0.1266</v>
      </c>
      <c r="E16" s="24" t="n">
        <v>0.003</v>
      </c>
      <c r="F16" s="24" t="n">
        <v>0.0028</v>
      </c>
      <c r="G16" s="24" t="n">
        <v>0.0271</v>
      </c>
      <c r="H16" s="24" t="n">
        <v>0.288</v>
      </c>
      <c r="I16" s="24" t="n">
        <v>0.5742</v>
      </c>
      <c r="J16" s="24" t="n">
        <v>0.3733</v>
      </c>
      <c r="K16" s="24" t="n">
        <v>0.0028</v>
      </c>
      <c r="L16" s="25" t="inlineStr"/>
      <c r="M16" s="25" t="inlineStr"/>
    </row>
    <row r="17">
      <c r="A17" s="26" t="inlineStr">
        <is>
          <t>Related-party share of revenue (derived)</t>
        </is>
      </c>
      <c r="B17" s="27">
        <f>B16/B5</f>
        <v/>
      </c>
      <c r="C17" s="27">
        <f>C16/C5</f>
        <v/>
      </c>
      <c r="D17" s="27">
        <f>D16/D5</f>
        <v/>
      </c>
      <c r="E17" s="27">
        <f>E16/E5</f>
        <v/>
      </c>
      <c r="F17" s="27">
        <f>F16/F5</f>
        <v/>
      </c>
      <c r="G17" s="27">
        <f>G16/G5</f>
        <v/>
      </c>
      <c r="H17" s="27">
        <f>H16/H5</f>
        <v/>
      </c>
      <c r="I17" s="27">
        <f>I16/I5</f>
        <v/>
      </c>
      <c r="J17" s="27">
        <f>J16/J5</f>
        <v/>
      </c>
      <c r="K17" s="27">
        <f>K16/K5</f>
        <v/>
      </c>
      <c r="L17" s="27" t="inlineStr"/>
      <c r="M17" s="27" t="inlineStr"/>
    </row>
    <row r="19">
      <c r="A19" s="11" t="inlineStr">
        <is>
          <t>Checks</t>
        </is>
      </c>
    </row>
    <row r="20">
      <c r="A20" t="inlineStr">
        <is>
          <t>Trailing four quarters non-GAAP EPS to Q2 26</t>
        </is>
      </c>
      <c r="B20" s="21">
        <f>SUM(H15:K15)</f>
        <v/>
      </c>
    </row>
    <row r="21">
      <c r="A21" t="inlineStr">
        <is>
          <t>Product gross margin, H1 2026</t>
        </is>
      </c>
      <c r="B21" s="20">
        <f>(J6+K6-J7-K7)/(J6+K6)</f>
        <v/>
      </c>
    </row>
    <row r="22">
      <c r="A22" t="inlineStr">
        <is>
          <t>Revenue, H1 2026 against H1 2024 (times)</t>
        </is>
      </c>
      <c r="B22" s="31">
        <f>(J5+K5)/(B5+C5)</f>
        <v/>
      </c>
    </row>
    <row r="23">
      <c r="A23" t="inlineStr">
        <is>
          <t>Revenue growth, Q2 2026 on Q2 2025</t>
        </is>
      </c>
      <c r="B23" s="32">
        <f>K5/G5-1</f>
        <v/>
      </c>
    </row>
    <row r="24">
      <c r="A24" t="inlineStr">
        <is>
          <t>H2 2026E revenue against the guide's implied H2 (low / high)</t>
        </is>
      </c>
      <c r="B24" s="33">
        <f>L5+M5</f>
        <v/>
      </c>
      <c r="C24" s="33">
        <f>Assumptions!$B$28-Assumptions!$B$22</f>
        <v/>
      </c>
      <c r="D24" s="33">
        <f>Assumptions!$B$29-Assumptions!$B$22</f>
        <v/>
      </c>
    </row>
    <row r="26">
      <c r="A26" s="12" t="inlineStr">
        <is>
          <t>Source: Bloom results releases (Exhibit 99.1 to Form 8-K): Q2 2024 (with Q1 2024), Q2 2025 (with Q1 2025), Q3 2025 (with Q3 2024), Q4 2025 (with Q4 2024), Q2 2026 (with Q1 2026).</t>
        </is>
      </c>
    </row>
    <row r="27">
      <c r="A27" s="12" t="inlineStr">
        <is>
          <t>Q3 26E and Q4 26E are my estimates: EPS = (revenue x gross margin - operating costs + other income) x (1 - tax) / fully diluted shares (Dilution tab).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FINANCIAL SUMMARY AND FORECASTS (US$ billion unless stated, non-GAAP basis)</t>
        </is>
      </c>
    </row>
    <row r="2">
      <c r="A2" s="2" t="inlineStr">
        <is>
          <t>Tommy Lau | Bloom Energy (NYSE: BE) | 6 October 2026 | Non-GAAP basis | Personal research, not investment advice.</t>
        </is>
      </c>
    </row>
    <row r="4">
      <c r="A4" s="3" t="inlineStr"/>
      <c r="B4" s="4" t="inlineStr">
        <is>
          <t>2024A</t>
        </is>
      </c>
      <c r="C4" s="4" t="inlineStr">
        <is>
          <t>2025A</t>
        </is>
      </c>
      <c r="D4" s="4" t="inlineStr">
        <is>
          <t>2026E*</t>
        </is>
      </c>
      <c r="E4" s="4" t="inlineStr">
        <is>
          <t>2027E*</t>
        </is>
      </c>
      <c r="F4" s="4" t="inlineStr">
        <is>
          <t>2028E*</t>
        </is>
      </c>
    </row>
    <row r="5">
      <c r="A5" s="5" t="inlineStr">
        <is>
          <t>Revenue</t>
        </is>
      </c>
      <c r="B5" s="34" t="n">
        <v>1.4739</v>
      </c>
      <c r="C5" s="34" t="n">
        <v>2.024</v>
      </c>
      <c r="D5" s="35">
        <f>Assumptions!$B$22+Quarterly!L5+Quarterly!M5</f>
        <v/>
      </c>
      <c r="E5" s="36">
        <f>D5*(1+Scenarios!B6)</f>
        <v/>
      </c>
      <c r="F5" s="36">
        <f>E5*(1+Scenarios!C6)</f>
        <v/>
      </c>
    </row>
    <row r="6">
      <c r="A6" s="26" t="inlineStr">
        <is>
          <t>Revenue growth</t>
        </is>
      </c>
      <c r="B6" s="27" t="inlineStr"/>
      <c r="C6" s="27">
        <f>C5/B5-1</f>
        <v/>
      </c>
      <c r="D6" s="27">
        <f>D5/C5-1</f>
        <v/>
      </c>
      <c r="E6" s="27">
        <f>E5/D5-1</f>
        <v/>
      </c>
      <c r="F6" s="27">
        <f>F5/E5-1</f>
        <v/>
      </c>
    </row>
    <row r="7">
      <c r="A7" s="26" t="inlineStr">
        <is>
          <t>Product revenue</t>
        </is>
      </c>
      <c r="B7" s="34" t="n">
        <v>1.0852</v>
      </c>
      <c r="C7" s="34" t="n">
        <v>1.5313</v>
      </c>
      <c r="D7" s="36">
        <f>Quarterly!J6+Quarterly!K6</f>
        <v/>
      </c>
      <c r="E7" s="36" t="inlineStr"/>
      <c r="F7" s="36" t="inlineStr"/>
    </row>
    <row r="8">
      <c r="A8" s="26" t="inlineStr">
        <is>
          <t>Product cost of revenue</t>
        </is>
      </c>
      <c r="B8" s="34" t="n">
        <v>0.6858</v>
      </c>
      <c r="C8" s="34" t="n">
        <v>0.9928</v>
      </c>
      <c r="D8" s="36">
        <f>Quarterly!J7+Quarterly!K7</f>
        <v/>
      </c>
      <c r="E8" s="36" t="inlineStr"/>
      <c r="F8" s="36" t="inlineStr"/>
    </row>
    <row r="9">
      <c r="A9" s="5" t="inlineStr">
        <is>
          <t>Product gross margin, GAAP (2026: H1)</t>
        </is>
      </c>
      <c r="B9" s="27">
        <f>(B7-B8)/B7</f>
        <v/>
      </c>
      <c r="C9" s="27">
        <f>(C7-C8)/C7</f>
        <v/>
      </c>
      <c r="D9" s="27">
        <f>(D7-D8)/D7</f>
        <v/>
      </c>
      <c r="E9" s="27" t="inlineStr"/>
      <c r="F9" s="27" t="inlineStr"/>
    </row>
    <row r="10">
      <c r="A10" s="26" t="inlineStr">
        <is>
          <t>Gross profit</t>
        </is>
      </c>
      <c r="B10" s="36">
        <f>B5*0.287</f>
        <v/>
      </c>
      <c r="C10" s="36">
        <f>C5*0.303</f>
        <v/>
      </c>
      <c r="D10" s="35">
        <f>Assumptions!$B$23+Quarterly!L5*Quarterly!L13+Quarterly!M5*Quarterly!M13</f>
        <v/>
      </c>
      <c r="E10" s="36">
        <f>E5*Scenarios!D6</f>
        <v/>
      </c>
      <c r="F10" s="36">
        <f>F5*Scenarios!E6</f>
        <v/>
      </c>
    </row>
    <row r="11">
      <c r="A11" s="5" t="inlineStr">
        <is>
          <t>Gross margin</t>
        </is>
      </c>
      <c r="B11" s="27">
        <f>B10/B5</f>
        <v/>
      </c>
      <c r="C11" s="27">
        <f>C10/C5</f>
        <v/>
      </c>
      <c r="D11" s="27">
        <f>D10/D5</f>
        <v/>
      </c>
      <c r="E11" s="27">
        <f>E10/E5</f>
        <v/>
      </c>
      <c r="F11" s="27">
        <f>F10/F5</f>
        <v/>
      </c>
    </row>
    <row r="12">
      <c r="A12" s="26" t="inlineStr">
        <is>
          <t>Operating expenses</t>
        </is>
      </c>
      <c r="B12" s="36">
        <f>B10-B13</f>
        <v/>
      </c>
      <c r="C12" s="36">
        <f>C10-C13</f>
        <v/>
      </c>
      <c r="D12" s="35">
        <f>Assumptions!$B$24+Assumptions!$B$44+Assumptions!$B$45</f>
        <v/>
      </c>
      <c r="E12" s="36">
        <f>Scenarios!F6</f>
        <v/>
      </c>
      <c r="F12" s="36">
        <f>Scenarios!G6</f>
        <v/>
      </c>
    </row>
    <row r="13">
      <c r="A13" s="5" t="inlineStr">
        <is>
          <t>Operating income</t>
        </is>
      </c>
      <c r="B13" s="34" t="n">
        <v>0.1076</v>
      </c>
      <c r="C13" s="34" t="n">
        <v>0.221</v>
      </c>
      <c r="D13" s="36">
        <f>D10-D12</f>
        <v/>
      </c>
      <c r="E13" s="36">
        <f>E10-E12</f>
        <v/>
      </c>
      <c r="F13" s="36">
        <f>F10-F12</f>
        <v/>
      </c>
    </row>
    <row r="14">
      <c r="A14" s="26" t="inlineStr">
        <is>
          <t>Operating margin</t>
        </is>
      </c>
      <c r="B14" s="27">
        <f>B13/B5</f>
        <v/>
      </c>
      <c r="C14" s="27">
        <f>C13/C5</f>
        <v/>
      </c>
      <c r="D14" s="27">
        <f>D13/D5</f>
        <v/>
      </c>
      <c r="E14" s="27">
        <f>E13/E5</f>
        <v/>
      </c>
      <c r="F14" s="27">
        <f>F13/F5</f>
        <v/>
      </c>
    </row>
    <row r="15">
      <c r="A15" s="26" t="inlineStr">
        <is>
          <t>Other income less operating income gap (2026: H1 actual plus H2)</t>
        </is>
      </c>
      <c r="B15" s="25" t="inlineStr"/>
      <c r="C15" s="25" t="inlineStr"/>
      <c r="D15" s="25">
        <f>(Assumptions!$B$26-Assumptions!$B$25)+2*Assumptions!$B$46</f>
        <v/>
      </c>
      <c r="E15" s="37">
        <f>Assumptions!$B$47</f>
        <v/>
      </c>
      <c r="F15" s="37">
        <f>Assumptions!$B$47</f>
        <v/>
      </c>
    </row>
    <row r="16">
      <c r="A16" s="26" t="inlineStr">
        <is>
          <t>Tax rate (2026: H2)</t>
        </is>
      </c>
      <c r="B16" s="38" t="inlineStr"/>
      <c r="C16" s="38" t="inlineStr"/>
      <c r="D16" s="39">
        <f>Assumptions!$B$48</f>
        <v/>
      </c>
      <c r="E16" s="39">
        <f>Assumptions!$B$49</f>
        <v/>
      </c>
      <c r="F16" s="39">
        <f>Assumptions!$B$50</f>
        <v/>
      </c>
    </row>
    <row r="17">
      <c r="A17" s="5" t="inlineStr">
        <is>
          <t>Adjusted net profit</t>
        </is>
      </c>
      <c r="B17" s="25" t="inlineStr"/>
      <c r="C17" s="25" t="inlineStr"/>
      <c r="D17" s="37">
        <f>Assumptions!$B$26+(Quarterly!L14+Assumptions!$B$46)*(1-D16)+(Quarterly!M14+Assumptions!$B$46)*(1-D16)</f>
        <v/>
      </c>
      <c r="E17" s="25">
        <f>(E13+E15)*(1-E16)</f>
        <v/>
      </c>
      <c r="F17" s="25">
        <f>(F13+F15)*(1-F16)</f>
        <v/>
      </c>
    </row>
    <row r="18">
      <c r="A18" s="26" t="inlineStr">
        <is>
          <t>Fully diluted shares, bn</t>
        </is>
      </c>
      <c r="B18" s="25" t="inlineStr"/>
      <c r="C18" s="25" t="inlineStr"/>
      <c r="D18" s="25">
        <f>Dilution!$B$13</f>
        <v/>
      </c>
      <c r="E18" s="25">
        <f>D18*(1+Assumptions!$B$51)</f>
        <v/>
      </c>
      <c r="F18" s="25">
        <f>E18*(1+Assumptions!$B$51)</f>
        <v/>
      </c>
    </row>
    <row r="19">
      <c r="A19" s="5" t="inlineStr">
        <is>
          <t>Diluted EPS, US$</t>
        </is>
      </c>
      <c r="B19" s="29" t="n">
        <v>0.28</v>
      </c>
      <c r="C19" s="29" t="n">
        <v>0.76</v>
      </c>
      <c r="D19" s="9">
        <f>Assumptions!$B$27+Quarterly!L15+Quarterly!M15</f>
        <v/>
      </c>
      <c r="E19" s="30">
        <f>E17/E18</f>
        <v/>
      </c>
      <c r="F19" s="30">
        <f>F17/F18</f>
        <v/>
      </c>
    </row>
    <row r="20">
      <c r="A20" s="26" t="inlineStr">
        <is>
          <t>EPS growth</t>
        </is>
      </c>
      <c r="B20" s="27" t="inlineStr"/>
      <c r="C20" s="27">
        <f>C19/B19-1</f>
        <v/>
      </c>
      <c r="D20" s="27">
        <f>D19/C19-1</f>
        <v/>
      </c>
      <c r="E20" s="27">
        <f>E19/D19-1</f>
        <v/>
      </c>
      <c r="F20" s="27">
        <f>F19/E19-1</f>
        <v/>
      </c>
    </row>
    <row r="21">
      <c r="A21" s="26" t="inlineStr">
        <is>
          <t>P/E at reference price</t>
        </is>
      </c>
      <c r="B21" s="40">
        <f>Assumptions!$B$7/B19</f>
        <v/>
      </c>
      <c r="C21" s="40">
        <f>Assumptions!$B$7/C19</f>
        <v/>
      </c>
      <c r="D21" s="40">
        <f>Assumptions!$B$7/D19</f>
        <v/>
      </c>
      <c r="E21" s="40">
        <f>Assumptions!$B$7/E19</f>
        <v/>
      </c>
      <c r="F21" s="40">
        <f>Assumptions!$B$7/F19</f>
        <v/>
      </c>
    </row>
    <row r="22">
      <c r="A22" s="26" t="inlineStr">
        <is>
          <t>Consensus EPS, US$</t>
        </is>
      </c>
      <c r="B22" s="30" t="inlineStr"/>
      <c r="C22" s="30" t="inlineStr"/>
      <c r="D22" s="9">
        <f>Assumptions!$B$15</f>
        <v/>
      </c>
      <c r="E22" s="9">
        <f>Assumptions!$B$16</f>
        <v/>
      </c>
      <c r="F22" s="9">
        <f>Assumptions!$B$17</f>
        <v/>
      </c>
    </row>
    <row r="23">
      <c r="A23" s="26" t="inlineStr">
        <is>
          <t>Mine against consensus</t>
        </is>
      </c>
      <c r="B23" s="27" t="inlineStr"/>
      <c r="C23" s="27" t="inlineStr"/>
      <c r="D23" s="27">
        <f>D19/D22-1</f>
        <v/>
      </c>
      <c r="E23" s="27">
        <f>E19/E22-1</f>
        <v/>
      </c>
      <c r="F23" s="27">
        <f>F19/F22-1</f>
        <v/>
      </c>
    </row>
    <row r="24">
      <c r="A24" s="26" t="inlineStr">
        <is>
          <t>Product megawatt-equivalents, GW (derived)</t>
        </is>
      </c>
      <c r="B24" s="36" t="inlineStr"/>
      <c r="C24" s="36" t="inlineStr"/>
      <c r="D24" s="36">
        <f>D5*Capacity!$B$7/Capacity!$B$6</f>
        <v/>
      </c>
      <c r="E24" s="36">
        <f>E5*Capacity!$B$7/Capacity!$B$6</f>
        <v/>
      </c>
      <c r="F24" s="36">
        <f>F5*Capacity!$B$7/Capacity!$B$6</f>
        <v/>
      </c>
    </row>
    <row r="26">
      <c r="A26" s="12" t="inlineStr">
        <is>
          <t>*2026E to 2028E are my own estimates. 2026E = reported H1 plus my Q3 and Q4 (Quarterly tab). 2027E and 2028E use the base case on the Scenarios tab (row 6).</t>
        </is>
      </c>
    </row>
    <row r="27">
      <c r="A27" s="12" t="inlineStr">
        <is>
          <t>2024A and 2025A gross profit use the reported non-GAAP gross margins (28.7%, 30.3%); operating income and EPS as reported in the Q4 2025 release.</t>
        </is>
      </c>
    </row>
    <row r="28">
      <c r="A28" s="12" t="inlineStr">
        <is>
          <t>Note check: 2026E revenue 4.07, EPS 2.78; 2027E 6.30, 4.43; 2028E 8.70, 6.03.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THREE CASES, TWELVE MONTHS OUT</t>
        </is>
      </c>
    </row>
    <row r="2">
      <c r="A2" s="2" t="inlineStr">
        <is>
          <t>Tommy Lau | Bloom Energy (NYSE: BE) | 6 October 2026 | Non-GAAP basis | Personal research, not investment advice.</t>
        </is>
      </c>
    </row>
    <row r="4">
      <c r="A4" s="3" t="inlineStr">
        <is>
          <t>Case</t>
        </is>
      </c>
      <c r="B4" s="4" t="inlineStr">
        <is>
          <t>Growth 27</t>
        </is>
      </c>
      <c r="C4" s="4" t="inlineStr">
        <is>
          <t>Growth 28</t>
        </is>
      </c>
      <c r="D4" s="4" t="inlineStr">
        <is>
          <t>GM 27</t>
        </is>
      </c>
      <c r="E4" s="4" t="inlineStr">
        <is>
          <t>GM 28</t>
        </is>
      </c>
      <c r="F4" s="4" t="inlineStr">
        <is>
          <t>Opex 27</t>
        </is>
      </c>
      <c r="G4" s="4" t="inlineStr">
        <is>
          <t>Opex 28</t>
        </is>
      </c>
      <c r="H4" s="4" t="inlineStr">
        <is>
          <t>2027 revenue</t>
        </is>
      </c>
      <c r="I4" s="4" t="inlineStr">
        <is>
          <t>2028 revenue</t>
        </is>
      </c>
      <c r="J4" s="4" t="inlineStr">
        <is>
          <t>2028 op. income</t>
        </is>
      </c>
      <c r="K4" s="4" t="inlineStr">
        <is>
          <t>2028 net profit</t>
        </is>
      </c>
      <c r="L4" s="4" t="inlineStr">
        <is>
          <t>2028 EPS</t>
        </is>
      </c>
      <c r="M4" s="4" t="inlineStr">
        <is>
          <t>Multiple</t>
        </is>
      </c>
      <c r="N4" s="4" t="inlineStr">
        <is>
          <t>Value, US$</t>
        </is>
      </c>
      <c r="O4" s="4" t="inlineStr">
        <is>
          <t>vs price</t>
        </is>
      </c>
      <c r="P4" s="4" t="inlineStr">
        <is>
          <t>2028 GW</t>
        </is>
      </c>
    </row>
    <row r="5">
      <c r="A5" s="5" t="inlineStr">
        <is>
          <t>Bear</t>
        </is>
      </c>
      <c r="B5" s="16" t="n">
        <v>0.3</v>
      </c>
      <c r="C5" s="16" t="n">
        <v>0.12</v>
      </c>
      <c r="D5" s="16" t="n">
        <v>0.33</v>
      </c>
      <c r="E5" s="16" t="n">
        <v>0.32</v>
      </c>
      <c r="F5" s="41" t="n">
        <v>0.58</v>
      </c>
      <c r="G5" s="41" t="n">
        <v>0.62</v>
      </c>
      <c r="H5" s="33">
        <f>Financials!$D$5*(1+B5)</f>
        <v/>
      </c>
      <c r="I5" s="33">
        <f>H5*(1+C5)</f>
        <v/>
      </c>
      <c r="J5" s="33">
        <f>I5*E5-G5</f>
        <v/>
      </c>
      <c r="K5" s="18">
        <f>(J5+Assumptions!$B$47)*(1-Assumptions!$B$50)</f>
        <v/>
      </c>
      <c r="L5" s="21">
        <f>K5/Financials!$F$18</f>
        <v/>
      </c>
      <c r="M5" s="17" t="n">
        <v>25</v>
      </c>
      <c r="N5" s="21">
        <f>L5*M5</f>
        <v/>
      </c>
      <c r="O5" s="32">
        <f>N5/Assumptions!$B$7-1</f>
        <v/>
      </c>
      <c r="P5" s="33">
        <f>I5*Capacity!$B$7/Capacity!$B$6</f>
        <v/>
      </c>
    </row>
    <row r="6">
      <c r="A6" s="5" t="inlineStr">
        <is>
          <t>Base</t>
        </is>
      </c>
      <c r="B6" s="16" t="n">
        <v>0.55</v>
      </c>
      <c r="C6" s="16" t="n">
        <v>0.38</v>
      </c>
      <c r="D6" s="16" t="n">
        <v>0.35</v>
      </c>
      <c r="E6" s="16" t="n">
        <v>0.355</v>
      </c>
      <c r="F6" s="41" t="n">
        <v>0.62</v>
      </c>
      <c r="G6" s="41" t="n">
        <v>0.75</v>
      </c>
      <c r="H6" s="33">
        <f>Financials!$D$5*(1+B6)</f>
        <v/>
      </c>
      <c r="I6" s="33">
        <f>H6*(1+C6)</f>
        <v/>
      </c>
      <c r="J6" s="33">
        <f>I6*E6-G6</f>
        <v/>
      </c>
      <c r="K6" s="18">
        <f>(J6+Assumptions!$B$47)*(1-Assumptions!$B$50)</f>
        <v/>
      </c>
      <c r="L6" s="21">
        <f>K6/Financials!$F$18</f>
        <v/>
      </c>
      <c r="M6" s="42">
        <f>Assumptions!$B$53</f>
        <v/>
      </c>
      <c r="N6" s="21">
        <f>L6*M6</f>
        <v/>
      </c>
      <c r="O6" s="32">
        <f>N6/Assumptions!$B$7-1</f>
        <v/>
      </c>
      <c r="P6" s="33">
        <f>I6*Capacity!$B$7/Capacity!$B$6</f>
        <v/>
      </c>
    </row>
    <row r="7">
      <c r="A7" s="5" t="inlineStr">
        <is>
          <t>Bull</t>
        </is>
      </c>
      <c r="B7" s="16" t="n">
        <v>0.7</v>
      </c>
      <c r="C7" s="16" t="n">
        <v>0.5</v>
      </c>
      <c r="D7" s="16" t="n">
        <v>0.365</v>
      </c>
      <c r="E7" s="16" t="n">
        <v>0.375</v>
      </c>
      <c r="F7" s="41" t="n">
        <v>0.66</v>
      </c>
      <c r="G7" s="41" t="n">
        <v>0.82</v>
      </c>
      <c r="H7" s="33">
        <f>Financials!$D$5*(1+B7)</f>
        <v/>
      </c>
      <c r="I7" s="33">
        <f>H7*(1+C7)</f>
        <v/>
      </c>
      <c r="J7" s="33">
        <f>I7*E7-G7</f>
        <v/>
      </c>
      <c r="K7" s="18">
        <f>(J7+Assumptions!$B$47)*(1-Assumptions!$B$50)</f>
        <v/>
      </c>
      <c r="L7" s="21">
        <f>K7/Financials!$F$18</f>
        <v/>
      </c>
      <c r="M7" s="17" t="n">
        <v>50</v>
      </c>
      <c r="N7" s="21">
        <f>L7*M7</f>
        <v/>
      </c>
      <c r="O7" s="32">
        <f>N7/Assumptions!$B$7-1</f>
        <v/>
      </c>
      <c r="P7" s="33">
        <f>I7*Capacity!$B$7/Capacity!$B$6</f>
        <v/>
      </c>
    </row>
    <row r="9">
      <c r="B9" s="5" t="inlineStr">
        <is>
          <t>Bear</t>
        </is>
      </c>
      <c r="C9" s="5" t="inlineStr">
        <is>
          <t>Base</t>
        </is>
      </c>
      <c r="D9" s="5" t="inlineStr">
        <is>
          <t>Bull</t>
        </is>
      </c>
    </row>
    <row r="10">
      <c r="A10" s="5" t="inlineStr">
        <is>
          <t>Probability</t>
        </is>
      </c>
      <c r="B10" s="43" t="n">
        <v>0.25</v>
      </c>
      <c r="C10" s="43" t="n">
        <v>0.5</v>
      </c>
      <c r="D10" s="43" t="n">
        <v>0.25</v>
      </c>
      <c r="E10" s="32">
        <f>SUM(B10:D10)</f>
        <v/>
      </c>
      <c r="F10" s="12" t="inlineStr">
        <is>
          <t>must be 100%</t>
        </is>
      </c>
    </row>
    <row r="12">
      <c r="A12" s="5" t="inlineStr">
        <is>
          <t>Probability-weighted value, US$</t>
        </is>
      </c>
      <c r="N12" s="44">
        <f>B10*N5+C10*N6+D10*N7</f>
        <v/>
      </c>
      <c r="O12" s="20">
        <f>N12/Assumptions!$B$7-1</f>
        <v/>
      </c>
    </row>
    <row r="14">
      <c r="A14" s="12" t="inlineStr">
        <is>
          <t>All cases start from my 2026E and use 2028 fully diluted shares from the Financials tab. Gross margin is non-GAAP; Opex is non-GAAP operating costs, US$bn.</t>
        </is>
      </c>
    </row>
    <row r="15">
      <c r="A15" s="12" t="inlineStr">
        <is>
          <t>Bear: faster grid connections and more turbine supply narrow the window Bloom sells into. Bull: Oracle's 2.8 GW and Brookfield's US$25bn fill, Fremont expands fast.</t>
        </is>
      </c>
    </row>
    <row r="16">
      <c r="A16" s="12" t="inlineStr">
        <is>
          <t>The base row (6) drives the Financials tab for 2027E and 2028E.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6" customWidth="1" min="1" max="1"/>
    <col width="16" customWidth="1" min="2" max="2"/>
    <col width="70" customWidth="1" min="3" max="3"/>
  </cols>
  <sheetData>
    <row r="1">
      <c r="A1" s="1" t="inlineStr">
        <is>
          <t>THE FACTORY IS THE CEILING: REVENUE CONVERTED TO GIGAWATTS (DERIVED)</t>
        </is>
      </c>
    </row>
    <row r="2">
      <c r="A2" s="2" t="inlineStr">
        <is>
          <t>Tommy Lau | Bloom Energy (NYSE: BE) | 6 October 2026 | Non-GAAP basis | Personal research, not investment advice.</t>
        </is>
      </c>
    </row>
    <row r="4">
      <c r="A4" s="3" t="inlineStr">
        <is>
          <t>Line</t>
        </is>
      </c>
      <c r="B4" s="4" t="inlineStr">
        <is>
          <t>Value</t>
        </is>
      </c>
      <c r="C4" s="4" t="inlineStr">
        <is>
          <t>Working / note</t>
        </is>
      </c>
    </row>
    <row r="5">
      <c r="A5" t="inlineStr">
        <is>
          <t>AEP order, US$bn</t>
        </is>
      </c>
      <c r="B5" s="33">
        <f>Assumptions!$B$36</f>
        <v/>
      </c>
      <c r="C5" s="7" t="inlineStr">
        <is>
          <t>Reported 8 January 2026.</t>
        </is>
      </c>
    </row>
    <row r="6">
      <c r="A6" t="inlineStr">
        <is>
          <t>Price per megawatt, US$m</t>
        </is>
      </c>
      <c r="B6" s="33">
        <f>Assumptions!$B$36/Assumptions!$B$37</f>
        <v/>
      </c>
      <c r="C6" s="7" t="inlineStr">
        <is>
          <t>My unit for converting revenue to megawatts. Bloom does not report MW shipped.</t>
        </is>
      </c>
    </row>
    <row r="7">
      <c r="A7" t="inlineStr">
        <is>
          <t>Product share of revenue</t>
        </is>
      </c>
      <c r="B7" s="20">
        <f>Assumptions!$B$52</f>
        <v/>
      </c>
      <c r="C7" s="7" t="inlineStr">
        <is>
          <t>H1 2026.</t>
        </is>
      </c>
    </row>
    <row r="8">
      <c r="A8" t="inlineStr">
        <is>
          <t>2026E, GW</t>
        </is>
      </c>
      <c r="B8" s="33">
        <f>Financials!D24</f>
        <v/>
      </c>
      <c r="C8" s="7" t="inlineStr"/>
    </row>
    <row r="9">
      <c r="A9" t="inlineStr">
        <is>
          <t>2027E, GW</t>
        </is>
      </c>
      <c r="B9" s="33">
        <f>Financials!E24</f>
        <v/>
      </c>
      <c r="C9" s="7" t="inlineStr"/>
    </row>
    <row r="10">
      <c r="A10" t="inlineStr">
        <is>
          <t>2028E base, GW</t>
        </is>
      </c>
      <c r="B10" s="33">
        <f>Financials!F24</f>
        <v/>
      </c>
      <c r="C10" s="7" t="inlineStr"/>
    </row>
    <row r="11">
      <c r="A11" t="inlineStr">
        <is>
          <t>Fremont annual capacity by end 2026, GW</t>
        </is>
      </c>
      <c r="B11" s="45">
        <f>Assumptions!$B$38</f>
        <v/>
      </c>
      <c r="C11" s="7" t="inlineStr">
        <is>
          <t>Site room for about 5 GW (10-K).</t>
        </is>
      </c>
    </row>
    <row r="12">
      <c r="A12" t="inlineStr">
        <is>
          <t>Revenue a 2 GW factory supports at that price, US$bn</t>
        </is>
      </c>
      <c r="B12" s="33">
        <f>B11*B6/B7</f>
        <v/>
      </c>
      <c r="C12" s="7" t="inlineStr"/>
    </row>
    <row r="13">
      <c r="A13" t="inlineStr">
        <is>
          <t>2028 GW the price needs (Valuation tab)</t>
        </is>
      </c>
      <c r="B13" s="33">
        <f>Valuation!B29</f>
        <v/>
      </c>
      <c r="C13" s="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2" customWidth="1" min="1" max="1"/>
    <col width="16" customWidth="1" min="2" max="2"/>
    <col width="70" customWidth="1" min="3" max="3"/>
  </cols>
  <sheetData>
    <row r="1">
      <c r="A1" s="1" t="inlineStr">
        <is>
          <t>VALUATION: 40x 2028E EPS, TWELVE MONTHS OUT</t>
        </is>
      </c>
    </row>
    <row r="2">
      <c r="A2" s="2" t="inlineStr">
        <is>
          <t>Tommy Lau | Bloom Energy (NYSE: BE) | 6 October 2026 | Non-GAAP basis | Personal research, not investment advice.</t>
        </is>
      </c>
    </row>
    <row r="4">
      <c r="A4" s="3" t="inlineStr">
        <is>
          <t>Line</t>
        </is>
      </c>
      <c r="B4" s="4" t="inlineStr">
        <is>
          <t>Value</t>
        </is>
      </c>
      <c r="C4" s="4" t="inlineStr">
        <is>
          <t>Working / note</t>
        </is>
      </c>
    </row>
    <row r="5">
      <c r="A5" t="inlineStr">
        <is>
          <t>2028E diluted EPS, US$</t>
        </is>
      </c>
      <c r="B5" s="21">
        <f>Financials!F19</f>
        <v/>
      </c>
      <c r="C5" s="7" t="inlineStr">
        <is>
          <t>The market will be pricing 2028 by October 2027.</t>
        </is>
      </c>
    </row>
    <row r="6">
      <c r="A6" t="inlineStr">
        <is>
          <t>Base multiple, x</t>
        </is>
      </c>
      <c r="B6" s="46">
        <f>Assumptions!$B$53</f>
        <v/>
      </c>
      <c r="C6" s="7" t="inlineStr">
        <is>
          <t>Assumptions tab.</t>
        </is>
      </c>
    </row>
    <row r="7">
      <c r="A7" s="5" t="inlineStr">
        <is>
          <t>Base-case value per share, US$</t>
        </is>
      </c>
      <c r="B7" s="44">
        <f>B5*B6</f>
        <v/>
      </c>
      <c r="C7" s="7" t="inlineStr">
        <is>
          <t>EPS x multiple.</t>
        </is>
      </c>
    </row>
    <row r="8">
      <c r="A8" t="inlineStr">
        <is>
          <t>Reference price, US$</t>
        </is>
      </c>
      <c r="B8" s="21">
        <f>Assumptions!$B$7</f>
        <v/>
      </c>
      <c r="C8" s="7" t="inlineStr">
        <is>
          <t>NYSE close, 5 October 2026.</t>
        </is>
      </c>
    </row>
    <row r="9">
      <c r="A9" t="inlineStr">
        <is>
          <t>Base value against the price</t>
        </is>
      </c>
      <c r="B9" s="20">
        <f>B7/B8-1</f>
        <v/>
      </c>
      <c r="C9" s="7" t="inlineStr"/>
    </row>
    <row r="10">
      <c r="A10" t="inlineStr">
        <is>
          <t>Probability-weighted value, US$</t>
        </is>
      </c>
      <c r="B10" s="21">
        <f>Scenarios!N12</f>
        <v/>
      </c>
      <c r="C10" s="7" t="inlineStr">
        <is>
          <t>Scenarios tab.</t>
        </is>
      </c>
    </row>
    <row r="11">
      <c r="A11" t="inlineStr">
        <is>
          <t>Rule on value alone (15% either side)</t>
        </is>
      </c>
      <c r="B11">
        <f>IF(B9&gt;0.15,"LONG",IF(B9&lt;-0.15,"SHORT","NO CALL"))</f>
        <v/>
      </c>
      <c r="C11" s="7" t="inlineStr">
        <is>
          <t>Mechanical only. The call below is judgement.</t>
        </is>
      </c>
    </row>
    <row r="12">
      <c r="A12" s="5" t="inlineStr">
        <is>
          <t>CALL</t>
        </is>
      </c>
      <c r="B12" s="47" t="inlineStr">
        <is>
          <t>NO CALL</t>
        </is>
      </c>
      <c r="C12" s="7" t="inlineStr">
        <is>
          <t>No call, leaning short: the base is only just outside the band and the stock moves 25% on one print.</t>
        </is>
      </c>
    </row>
    <row r="13">
      <c r="A13" t="inlineStr">
        <is>
          <t>Market value on shares outstanding, US$bn</t>
        </is>
      </c>
      <c r="B13" s="45">
        <f>Assumptions!$B$7*Assumptions!$B$11</f>
        <v/>
      </c>
      <c r="C13" s="7" t="inlineStr"/>
    </row>
    <row r="14">
      <c r="A14" t="inlineStr">
        <is>
          <t>Net cash, US$bn</t>
        </is>
      </c>
      <c r="B14" s="18">
        <f>Assumptions!$B$12-Assumptions!$B$13</f>
        <v/>
      </c>
      <c r="C14" s="7" t="inlineStr">
        <is>
          <t>30 June 2026; excludes US$0.21bn of financing obligations.</t>
        </is>
      </c>
    </row>
    <row r="15">
      <c r="A15" t="inlineStr">
        <is>
          <t>Enterprise value, US$bn</t>
        </is>
      </c>
      <c r="B15" s="45">
        <f>B13-B14</f>
        <v/>
      </c>
      <c r="C15" s="7" t="inlineStr"/>
    </row>
    <row r="16">
      <c r="A16" t="inlineStr">
        <is>
          <t>Change since 31 Dec 2025</t>
        </is>
      </c>
      <c r="B16" s="32">
        <f>Assumptions!$B$7/Assumptions!$B$10-1</f>
        <v/>
      </c>
      <c r="C16" s="7" t="inlineStr"/>
    </row>
    <row r="17">
      <c r="A17" t="inlineStr">
        <is>
          <t>Price below the highest close</t>
        </is>
      </c>
      <c r="B17" s="20">
        <f>1-Assumptions!$B$7/Assumptions!$B$9</f>
        <v/>
      </c>
      <c r="C17" s="7" t="inlineStr"/>
    </row>
    <row r="18">
      <c r="A18" t="inlineStr">
        <is>
          <t>P/E on my 2026E</t>
        </is>
      </c>
      <c r="B18" s="48">
        <f>Financials!D21</f>
        <v/>
      </c>
      <c r="C18" s="7" t="inlineStr"/>
    </row>
    <row r="19">
      <c r="A19" t="inlineStr">
        <is>
          <t>P/E on my 2027E</t>
        </is>
      </c>
      <c r="B19" s="48">
        <f>Financials!E21</f>
        <v/>
      </c>
      <c r="C19" s="7" t="inlineStr"/>
    </row>
    <row r="20">
      <c r="A20" t="inlineStr">
        <is>
          <t>P/E on my 2028E</t>
        </is>
      </c>
      <c r="B20" s="48">
        <f>Financials!F21</f>
        <v/>
      </c>
      <c r="C20" s="7" t="inlineStr"/>
    </row>
    <row r="21">
      <c r="A21" t="inlineStr">
        <is>
          <t>P/E on the 2026 EPS guide midpoint</t>
        </is>
      </c>
      <c r="B21" s="48">
        <f>Assumptions!$B$7/((Assumptions!$B$30+Assumptions!$B$31)/2)</f>
        <v/>
      </c>
      <c r="C21" s="7" t="inlineStr"/>
    </row>
    <row r="22">
      <c r="A22" t="inlineStr">
        <is>
          <t>P/E on the 2028 consensus</t>
        </is>
      </c>
      <c r="B22" s="48">
        <f>Assumptions!$B$7/Assumptions!$B$17</f>
        <v/>
      </c>
      <c r="C22" s="7" t="inlineStr">
        <is>
          <t>Nasdaq.com (Zacks), 2 estimates.</t>
        </is>
      </c>
    </row>
    <row r="23">
      <c r="A23" t="inlineStr">
        <is>
          <t>P/E on trailing four quarters EPS</t>
        </is>
      </c>
      <c r="B23" s="48">
        <f>Assumptions!$B$7/Quarterly!B20</f>
        <v/>
      </c>
      <c r="C23" s="7" t="inlineStr"/>
    </row>
    <row r="24">
      <c r="A24" t="inlineStr"/>
      <c r="C24" s="7" t="inlineStr"/>
    </row>
    <row r="25">
      <c r="A25" t="inlineStr">
        <is>
          <t>2028 EPS the price needs at the base multiple, US$</t>
        </is>
      </c>
      <c r="B25" s="21">
        <f>Assumptions!$B$7/Assumptions!$B$53</f>
        <v/>
      </c>
      <c r="C25" s="7" t="inlineStr">
        <is>
          <t>What the market prices in.</t>
        </is>
      </c>
    </row>
    <row r="26">
      <c r="A26" t="inlineStr">
        <is>
          <t>2028 operating income that needs, US$bn</t>
        </is>
      </c>
      <c r="B26" s="33">
        <f>B25*Financials!F18/(1-Assumptions!$B$50)-Assumptions!$B$47</f>
        <v/>
      </c>
      <c r="C26" s="7" t="inlineStr"/>
    </row>
    <row r="27">
      <c r="A27" t="inlineStr">
        <is>
          <t>2028 revenue that needs at base margin and costs, US$bn</t>
        </is>
      </c>
      <c r="B27" s="33">
        <f>(B26+Scenarios!G6)/Scenarios!E6</f>
        <v/>
      </c>
      <c r="C27" s="7" t="inlineStr">
        <is>
          <t>Against my base US$8.70bn.</t>
        </is>
      </c>
    </row>
    <row r="28">
      <c r="A28" t="inlineStr">
        <is>
          <t>That against my 2028E base revenue</t>
        </is>
      </c>
      <c r="B28" s="31">
        <f>B27/Financials!F5</f>
        <v/>
      </c>
      <c r="C28" s="7" t="inlineStr"/>
    </row>
    <row r="29">
      <c r="A29" t="inlineStr">
        <is>
          <t>2028 GW that needs (derived)</t>
        </is>
      </c>
      <c r="B29" s="33">
        <f>B27*Capacity!B7/Capacity!B6</f>
        <v/>
      </c>
      <c r="C29" s="7" t="inlineStr">
        <is>
          <t>Against 2 GW of planned factory capacity.</t>
        </is>
      </c>
    </row>
    <row r="30">
      <c r="A30" t="inlineStr">
        <is>
          <t>Price that puts the base case 15% above (revisit as long)</t>
        </is>
      </c>
      <c r="B30" s="21">
        <f>B7/1.15</f>
        <v/>
      </c>
      <c r="C30" s="7" t="inlineStr"/>
    </row>
    <row r="31">
      <c r="A31" t="inlineStr">
        <is>
          <t>Price that puts the base case 25% below (revisit as short)</t>
        </is>
      </c>
      <c r="B31" s="21">
        <f>B7/0.75</f>
        <v/>
      </c>
      <c r="C31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VALUE PER SHARE: 2028E EPS AGAINST MULTIPLE (US$)</t>
        </is>
      </c>
    </row>
    <row r="2">
      <c r="A2" s="2" t="inlineStr">
        <is>
          <t>Tommy Lau | Bloom Energy (NYSE: BE) | 6 October 2026 | Non-GAAP basis | Personal research, not investment advice.</t>
        </is>
      </c>
    </row>
    <row r="4">
      <c r="A4" s="3" t="inlineStr">
        <is>
          <t>2028 EPS \ multiple</t>
        </is>
      </c>
      <c r="B4" s="49" t="n">
        <v>30</v>
      </c>
      <c r="C4" s="49">
        <f>Assumptions!$B$53</f>
        <v/>
      </c>
      <c r="D4" s="49" t="n">
        <v>50</v>
      </c>
    </row>
    <row r="5">
      <c r="A5" s="50" t="n">
        <v>4.5</v>
      </c>
      <c r="B5" s="51">
        <f>$A5*B$4</f>
        <v/>
      </c>
      <c r="C5" s="51">
        <f>$A5*C$4</f>
        <v/>
      </c>
      <c r="D5" s="51">
        <f>$A5*D$4</f>
        <v/>
      </c>
    </row>
    <row r="6">
      <c r="A6" s="52">
        <f>Financials!F19</f>
        <v/>
      </c>
      <c r="B6" s="51">
        <f>$A6*B$4</f>
        <v/>
      </c>
      <c r="C6" s="53">
        <f>$A6*C$4</f>
        <v/>
      </c>
      <c r="D6" s="51">
        <f>$A6*D$4</f>
        <v/>
      </c>
    </row>
    <row r="7">
      <c r="A7" s="50" t="n">
        <v>7.5</v>
      </c>
      <c r="B7" s="51">
        <f>$A7*B$4</f>
        <v/>
      </c>
      <c r="C7" s="51">
        <f>$A7*C$4</f>
        <v/>
      </c>
      <c r="D7" s="51">
        <f>$A7*D$4</f>
        <v/>
      </c>
    </row>
    <row r="9">
      <c r="A9" s="5" t="inlineStr">
        <is>
          <t>Cells above the reference price</t>
        </is>
      </c>
      <c r="B9">
        <f>COUNTIF(B5:D7,"&gt;"&amp;Assumptions!$B$7)</f>
        <v/>
      </c>
      <c r="C9" t="inlineStr">
        <is>
          <t>of 9</t>
        </is>
      </c>
    </row>
    <row r="11">
      <c r="A11" s="12" t="inlineStr">
        <is>
          <t>Middle row links to the model's 2028E EPS and the middle column to the base multiple.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80" customWidth="1" min="4" max="4"/>
  </cols>
  <sheetData>
    <row r="1">
      <c r="A1" s="1" t="inlineStr">
        <is>
          <t>PEER MULTIPLES (FORWARD P/E, stockanalysis.com, 6 OCTOBER 2026)</t>
        </is>
      </c>
    </row>
    <row r="2">
      <c r="A2" s="2" t="inlineStr">
        <is>
          <t>Tommy Lau | Bloom Energy (NYSE: BE) | 6 October 2026 | Non-GAAP basis | Personal research, not investment advice.</t>
        </is>
      </c>
    </row>
    <row r="4">
      <c r="A4" s="3" t="inlineStr">
        <is>
          <t>Company</t>
        </is>
      </c>
      <c r="B4" s="4" t="inlineStr">
        <is>
          <t>Ticker</t>
        </is>
      </c>
      <c r="C4" s="4" t="inlineStr">
        <is>
          <t>Forward P/E</t>
        </is>
      </c>
      <c r="D4" s="4" t="inlineStr">
        <is>
          <t>What they make</t>
        </is>
      </c>
    </row>
    <row r="5">
      <c r="A5" s="5" t="inlineStr">
        <is>
          <t>Bloom Energy</t>
        </is>
      </c>
      <c r="B5" t="inlineStr">
        <is>
          <t>NYSE: BE</t>
        </is>
      </c>
      <c r="C5" s="54">
        <f>Assumptions!$B$19</f>
        <v/>
      </c>
      <c r="D5" s="7" t="inlineStr">
        <is>
          <t>Solid oxide fuel cell systems for on-site power, and their maintenance</t>
        </is>
      </c>
    </row>
    <row r="6">
      <c r="A6" s="26" t="inlineStr">
        <is>
          <t>GE Vernova</t>
        </is>
      </c>
      <c r="B6" t="inlineStr">
        <is>
          <t>NYSE: GEV</t>
        </is>
      </c>
      <c r="C6" s="55" t="n">
        <v>47.34</v>
      </c>
      <c r="D6" s="7" t="inlineStr">
        <is>
          <t>Gas turbines, grid equipment and wind turbines</t>
        </is>
      </c>
    </row>
    <row r="7">
      <c r="A7" s="26" t="inlineStr">
        <is>
          <t>Vertiv</t>
        </is>
      </c>
      <c r="B7" t="inlineStr">
        <is>
          <t>NYSE: VRT</t>
        </is>
      </c>
      <c r="C7" s="55" t="n">
        <v>31.93</v>
      </c>
      <c r="D7" s="7" t="inlineStr">
        <is>
          <t>Power and cooling equipment for data centres</t>
        </is>
      </c>
    </row>
    <row r="8">
      <c r="A8" s="26" t="inlineStr">
        <is>
          <t>Caterpillar</t>
        </is>
      </c>
      <c r="B8" t="inlineStr">
        <is>
          <t>NYSE: CAT</t>
        </is>
      </c>
      <c r="C8" s="55" t="n">
        <v>29.42</v>
      </c>
      <c r="D8" s="7" t="inlineStr">
        <is>
          <t>Gas and diesel engine generators, plus construction and mining machines</t>
        </is>
      </c>
    </row>
    <row r="9">
      <c r="A9" s="26" t="inlineStr">
        <is>
          <t>Siemens Energy</t>
        </is>
      </c>
      <c r="B9" t="inlineStr">
        <is>
          <t>Xetra: ENR</t>
        </is>
      </c>
      <c r="C9" s="55" t="n">
        <v>24.48</v>
      </c>
      <c r="D9" s="7" t="inlineStr">
        <is>
          <t>Gas turbines, grid equipment and wind turbines</t>
        </is>
      </c>
    </row>
    <row r="10">
      <c r="A10" s="26" t="inlineStr">
        <is>
          <t>Cummins</t>
        </is>
      </c>
      <c r="B10" t="inlineStr">
        <is>
          <t>NYSE: CMI</t>
        </is>
      </c>
      <c r="C10" s="55" t="n">
        <v>15.94</v>
      </c>
      <c r="D10" s="7" t="inlineStr">
        <is>
          <t>Engines and generator sets</t>
        </is>
      </c>
    </row>
    <row r="11">
      <c r="A11" s="26" t="inlineStr">
        <is>
          <t>FuelCell Energy</t>
        </is>
      </c>
      <c r="B11" t="inlineStr">
        <is>
          <t>Nasdaq: FCEL</t>
        </is>
      </c>
      <c r="C11" s="55" t="inlineStr">
        <is>
          <t>n/m</t>
        </is>
      </c>
      <c r="D11" s="7" t="inlineStr">
        <is>
          <t>Carbonate and solid oxide fuel cells; loss-making, no forward P/E</t>
        </is>
      </c>
    </row>
    <row r="13">
      <c r="A13" t="inlineStr">
        <is>
          <t>Median, power equipment peers (GE Vernova to Cummins)</t>
        </is>
      </c>
      <c r="C13" s="48">
        <f>MEDIAN(C6:C10)</f>
        <v/>
      </c>
    </row>
    <row r="15">
      <c r="A15" s="12" t="inlineStr">
        <is>
          <t>Siemens Energy on its Frankfurt listing. FuelCell Energy is loss-making. Multiples only, to set the base multiple.</t>
        </is>
      </c>
    </row>
    <row r="16">
      <c r="A16" s="12" t="inlineStr">
        <is>
          <t>No view on the peers' shares is expressed.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30" customWidth="1" min="2" max="2"/>
  </cols>
  <sheetData>
    <row r="1">
      <c r="A1" s="1" t="inlineStr">
        <is>
          <t>SOURCES</t>
        </is>
      </c>
    </row>
    <row r="2">
      <c r="A2" s="2" t="inlineStr">
        <is>
          <t>Tommy Lau | Bloom Energy (NYSE: BE) | 6 October 2026 | Non-GAAP basis | Personal research, not investment advice.</t>
        </is>
      </c>
    </row>
    <row r="4">
      <c r="A4" s="3" t="inlineStr">
        <is>
          <t>No.</t>
        </is>
      </c>
      <c r="B4" s="4" t="inlineStr">
        <is>
          <t>Source and what it supports</t>
        </is>
      </c>
    </row>
    <row r="5">
      <c r="A5" t="n">
        <v>1</v>
      </c>
      <c r="B5" s="7" t="inlineStr">
        <is>
          <t>Bloom results releases (Exhibit 99.1 to Form 8-K): Q2 2024, Q2 2025, Q3 2025, Q4 2025 (5 February 2026) and Q2 2026 (28 July 2026), with their comparative quarters: revenue and cost by line, GAAP and non-GAAP margins, operating income, EPS, related-party revenue, guidance, backlog.</t>
        </is>
      </c>
    </row>
    <row r="6">
      <c r="A6" t="n">
        <v>2</v>
      </c>
      <c r="B6" s="7" t="inlineStr">
        <is>
          <t>Bloom Form 10-K for 2025: backlog definitions; service contracts of 5 to 20 years, terminable for convenience each year; 1 GW to 2 GW capacity plan; grid queues and the SPP 90-day study route approved by FERC in January 2026.</t>
        </is>
      </c>
    </row>
    <row r="7">
      <c r="A7" t="n">
        <v>3</v>
      </c>
      <c r="B7" s="7" t="inlineStr">
        <is>
          <t>Bloom Form 10-Q for Q2 2026: debt table and note terms, Green note conversions, Oracle warrant (3,531,073 at US$113.28; exercised 1 May 2026), EPS reconciliation, Brookfield joint ventures, customer concentration, the 8 July 2026 short report.</t>
        </is>
      </c>
    </row>
    <row r="8">
      <c r="A8" t="n">
        <v>4</v>
      </c>
      <c r="B8" s="7" t="inlineStr">
        <is>
          <t>Bloom announcements: Oracle, up to 2.8 GW with 1.2 GW contracted (13 April 2026); Brookfield framework to US$25bn (30 June 2026); Power Connect (19 August 2026); Q3 2025 results date notice (9 October 2025).</t>
        </is>
      </c>
    </row>
    <row r="9">
      <c r="A9" t="n">
        <v>5</v>
      </c>
      <c r="B9" s="7" t="inlineStr">
        <is>
          <t>AEP exercise of most of its 900 MW option, about US$2.65bn, as reported on 8 January 2026.</t>
        </is>
      </c>
    </row>
    <row r="10">
      <c r="A10" t="n">
        <v>6</v>
      </c>
      <c r="B10" s="7" t="inlineStr">
        <is>
          <t>Yahoo Finance chart API, retrieved 6 October 2026: month-end and daily closes, 52-week range.</t>
        </is>
      </c>
    </row>
    <row r="11">
      <c r="A11" t="n">
        <v>7</v>
      </c>
      <c r="B11" s="7" t="inlineStr">
        <is>
          <t>stockanalysis.com, retrieved 6 October 2026: 2026 consensus EPS and revenue, average target, forward P/E for Bloom and peers. Nasdaq.com (Zacks): 2027 and 2028 consensus EPS, Q3 2026 consensus.</t>
        </is>
      </c>
    </row>
    <row r="12">
      <c r="A12" t="n">
        <v>8</v>
      </c>
      <c r="B12" s="7" t="inlineStr">
        <is>
          <t>The Physical Layer, 'Bloom Energy is not selling electricity. It is selling time.', 24 September 2026: https://thephysicallayer.fyi/journal/the-product-is-time/</t>
        </is>
      </c>
    </row>
    <row r="13">
      <c r="A13" t="n">
        <v>9</v>
      </c>
      <c r="B13" s="7" t="inlineStr">
        <is>
          <t>Estimates for 2026 to 2028 are the author's own. Personal research, not investment advice. I hold no position in Bloom Energy.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2026-10-06T13:47:21Z</dcterms:created>
  <dcterms:modified xmlns:dcterms="http://purl.org/dc/terms/" xmlns:xsi="http://www.w3.org/2001/XMLSchema-instance" xsi:type="dcterms:W3CDTF">2026-10-06T13:47:21Z</dcterms:modified>
</cp:coreProperties>
</file>