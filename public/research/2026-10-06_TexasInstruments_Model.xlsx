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DataCentre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Peer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0&quot;x&quot;"/>
    <numFmt numFmtId="166" formatCode="0.0%"/>
    <numFmt numFmtId="167" formatCode="&quot;US$&quot;#,##0.00"/>
    <numFmt numFmtId="168" formatCode="0.000"/>
    <numFmt numFmtId="169" formatCode="0.0&quot;x&quot;"/>
    <numFmt numFmtId="170" formatCode="#,##0.0"/>
    <numFmt numFmtId="171" formatCode="&quot;US$&quot;#,##0"/>
  </numFmts>
  <fonts count="12">
    <font>
      <name val="Calibri"/>
      <family val="2"/>
      <color theme="1"/>
      <sz val="11"/>
      <scheme val="minor"/>
    </font>
    <font>
      <b val="1"/>
      <color rgb="001F3864"/>
      <sz val="12"/>
    </font>
    <font>
      <color rgb="00595959"/>
      <sz val="9"/>
    </font>
    <font>
      <i val="1"/>
      <color rgb="00595959"/>
      <sz val="9"/>
    </font>
    <font>
      <b val="1"/>
      <color rgb="00FFFFFF"/>
      <sz val="10"/>
    </font>
    <font>
      <b val="1"/>
      <color rgb="001F3864"/>
    </font>
    <font>
      <color rgb="000000FF"/>
    </font>
    <font>
      <b val="1"/>
      <color rgb="000000FF"/>
    </font>
    <font>
      <b val="1"/>
    </font>
    <font>
      <color rgb="00008000"/>
    </font>
    <font/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pivotButton="0" quotePrefix="0" xfId="0"/>
    <xf numFmtId="4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4" fontId="7" fillId="3" borderId="0" pivotButton="0" quotePrefix="0" xfId="0"/>
    <xf numFmtId="166" fontId="7" fillId="3" borderId="0" pivotButton="0" quotePrefix="0" xfId="0"/>
    <xf numFmtId="165" fontId="7" fillId="3" borderId="0" pivotButton="0" quotePrefix="0" xfId="0"/>
    <xf numFmtId="164" fontId="6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10" fillId="0" borderId="0" pivotButton="0" quotePrefix="0" xfId="0"/>
    <xf numFmtId="166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4" fontId="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right"/>
    </xf>
    <xf numFmtId="4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65" fontId="0" fillId="0" borderId="0" pivotButton="0" quotePrefix="0" xfId="0"/>
    <xf numFmtId="167" fontId="8" fillId="4" borderId="0" pivotButton="0" quotePrefix="0" xfId="0"/>
    <xf numFmtId="0" fontId="8" fillId="4" borderId="0" pivotButton="0" quotePrefix="0" xfId="0"/>
    <xf numFmtId="170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9" fontId="0" fillId="0" borderId="0" pivotButton="0" quotePrefix="0" xfId="0"/>
    <xf numFmtId="166" fontId="9" fillId="0" borderId="0" pivotButton="0" quotePrefix="0" xfId="0"/>
    <xf numFmtId="165" fontId="9" fillId="0" borderId="0" pivotButton="0" quotePrefix="0" xfId="0"/>
    <xf numFmtId="9" fontId="7" fillId="3" borderId="0" pivotButton="0" quotePrefix="0" xfId="0"/>
    <xf numFmtId="165" fontId="11" fillId="2" borderId="0" applyAlignment="1" pivotButton="0" quotePrefix="0" xfId="0">
      <alignment horizontal="right"/>
    </xf>
    <xf numFmtId="167" fontId="6" fillId="0" borderId="0" pivotButton="0" quotePrefix="0" xfId="0"/>
    <xf numFmtId="171" fontId="0" fillId="0" borderId="0" pivotButton="0" quotePrefix="0" xfId="0"/>
    <xf numFmtId="167" fontId="9" fillId="0" borderId="0" pivotButton="0" quotePrefix="0" xfId="0"/>
    <xf numFmtId="171" fontId="0" fillId="4" borderId="0" pivotButton="0" quotePrefix="0" xfId="0"/>
    <xf numFmtId="169" fontId="9" fillId="0" borderId="0" pivotButton="0" quotePrefix="0" xfId="0"/>
    <xf numFmtId="16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80" customWidth="1" min="3" max="3"/>
  </cols>
  <sheetData>
    <row r="1">
      <c r="A1" s="1" t="inlineStr">
        <is>
          <t>TEXAS INSTRUMENTS (Nasdaq: TXN)  INITIATION MODEL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>
        <is>
          <t>Item</t>
        </is>
      </c>
      <c r="B4" s="4" t="inlineStr">
        <is>
          <t>Value</t>
        </is>
      </c>
      <c r="C4" s="4" t="inlineStr">
        <is>
          <t>Note</t>
        </is>
      </c>
    </row>
    <row r="5">
      <c r="A5" s="5" t="inlineStr">
        <is>
          <t>Call</t>
        </is>
      </c>
      <c r="B5" s="6">
        <f>Valuation!$B$11</f>
        <v/>
      </c>
      <c r="C5" s="7" t="inlineStr">
        <is>
          <t>Tommy Lau's call, published 6 Oct 2026.</t>
        </is>
      </c>
    </row>
    <row r="6">
      <c r="A6" s="5" t="inlineStr">
        <is>
          <t>Conviction</t>
        </is>
      </c>
      <c r="B6" s="8" t="inlineStr">
        <is>
          <t>Medium</t>
        </is>
      </c>
      <c r="C6" s="7" t="inlineStr">
        <is>
          <t>Judgement, not formula.</t>
        </is>
      </c>
    </row>
    <row r="7">
      <c r="A7" s="5" t="inlineStr">
        <is>
          <t>Reference price, US$</t>
        </is>
      </c>
      <c r="B7" s="9">
        <f>Assumptions!$B$7</f>
        <v/>
      </c>
      <c r="C7" s="7" t="inlineStr">
        <is>
          <t>Nasdaq close, 5 October 2026.</t>
        </is>
      </c>
    </row>
    <row r="8">
      <c r="A8" s="5" t="inlineStr">
        <is>
          <t>Base value, US$</t>
        </is>
      </c>
      <c r="B8" s="9">
        <f>Valuation!$B$7</f>
        <v/>
      </c>
      <c r="C8" s="7" t="inlineStr">
        <is>
          <t>25x 2028E EPS.</t>
        </is>
      </c>
    </row>
    <row r="9">
      <c r="A9" s="5" t="inlineStr">
        <is>
          <t>Base value against the price</t>
        </is>
      </c>
      <c r="B9" s="10">
        <f>Valuation!$B$9</f>
        <v/>
      </c>
      <c r="C9" s="7" t="inlineStr"/>
    </row>
    <row r="10">
      <c r="A10" s="5" t="inlineStr">
        <is>
          <t>Probability-weighted value, US$</t>
        </is>
      </c>
      <c r="B10" s="9">
        <f>Valuation!$B$10</f>
        <v/>
      </c>
      <c r="C10" s="7" t="inlineStr">
        <is>
          <t>25 / 50 / 25 bear / base / bull.</t>
        </is>
      </c>
    </row>
    <row r="11">
      <c r="A11" s="5" t="inlineStr">
        <is>
          <t>2026E / 2027E / 2028E EPS, US$</t>
        </is>
      </c>
      <c r="B11" s="6">
        <f>TEXT(Financials!E15,"0.00")&amp;" / "&amp;TEXT(Financials!F15,"0.00")&amp;" / "&amp;TEXT(Financials!G15,"0.00")</f>
        <v/>
      </c>
      <c r="C11" s="7" t="inlineStr">
        <is>
          <t>Own estimates.</t>
        </is>
      </c>
    </row>
    <row r="12">
      <c r="A12" s="5" t="inlineStr">
        <is>
          <t>Horizon</t>
        </is>
      </c>
      <c r="B12" s="8" t="inlineStr">
        <is>
          <t>12 months, to October 2027</t>
        </is>
      </c>
      <c r="C12" s="7" t="inlineStr"/>
    </row>
    <row r="13">
      <c r="A13" s="5" t="inlineStr">
        <is>
          <t>Wrong if</t>
        </is>
      </c>
      <c r="B13" s="8" t="inlineStr">
        <is>
          <t>See note</t>
        </is>
      </c>
      <c r="C13" s="7" t="inlineStr">
        <is>
          <t>Full year 2027 revenue of US$26bn or more with data centre above 15% of it; or gross margin of 65% or more in any quarter to June 2027; or the shares trade above US$340 by October 2027 without either.</t>
        </is>
      </c>
    </row>
    <row r="14">
      <c r="A14" s="5" t="inlineStr">
        <is>
          <t>Revisit if</t>
        </is>
      </c>
      <c r="B14" s="8" t="inlineStr">
        <is>
          <t>See note</t>
        </is>
      </c>
      <c r="C14" s="7" t="inlineStr">
        <is>
          <t>A price below about US$244; or data centre at 15% or more of revenue while industrial still grows; or a gross margin of 65% or more.</t>
        </is>
      </c>
    </row>
    <row r="17">
      <c r="A17" s="11" t="inlineStr">
        <is>
          <t>Tabs</t>
        </is>
      </c>
    </row>
    <row r="18">
      <c r="A18" t="inlineStr">
        <is>
          <t>Assumptions</t>
        </is>
      </c>
      <c r="B18" t="inlineStr">
        <is>
          <t>Every input, with its source. Change the yellow cells to move the value.</t>
        </is>
      </c>
    </row>
    <row r="19">
      <c r="A19" t="inlineStr">
        <is>
          <t>Quarterly</t>
        </is>
      </c>
      <c r="B19" t="inlineStr">
        <is>
          <t>Q1 2024 to Q2 2026 reported, my Q3 and Q4 2026; margins, depreciation, capex, free cash flow.</t>
        </is>
      </c>
    </row>
    <row r="20">
      <c r="A20" t="inlineStr">
        <is>
          <t>DataCentre</t>
        </is>
      </c>
      <c r="B20" t="inlineStr">
        <is>
          <t>Data centre growth rates as TI states them, and my derivation of its size and share.</t>
        </is>
      </c>
    </row>
    <row r="21">
      <c r="A21" t="inlineStr">
        <is>
          <t>Financials</t>
        </is>
      </c>
      <c r="B21" t="inlineStr">
        <is>
          <t>2022A, 2024A to 2028E: data centre and the rest, the margin bridge, EPS, P/E, capex and free cash flow.</t>
        </is>
      </c>
    </row>
    <row r="22">
      <c r="A22" t="inlineStr">
        <is>
          <t>Valuation</t>
        </is>
      </c>
      <c r="B22" t="inlineStr">
        <is>
          <t>Base value, market value, multiples, what the price needs, free cash flow yield.</t>
        </is>
      </c>
    </row>
    <row r="23">
      <c r="A23" t="inlineStr">
        <is>
          <t>Scenarios</t>
        </is>
      </c>
      <c r="B23" t="inlineStr">
        <is>
          <t>Bear / base / bull, the probability-weighted value, and which driver moves earnings most.</t>
        </is>
      </c>
    </row>
    <row r="24">
      <c r="A24" t="inlineStr">
        <is>
          <t>Sensitivity</t>
        </is>
      </c>
      <c r="B24" t="inlineStr">
        <is>
          <t>2028E EPS against multiple.</t>
        </is>
      </c>
    </row>
    <row r="25">
      <c r="A25" t="inlineStr">
        <is>
          <t>Peers</t>
        </is>
      </c>
      <c r="B25" t="inlineStr">
        <is>
          <t>Forward multiples used to set the base multiple.</t>
        </is>
      </c>
    </row>
    <row r="26">
      <c r="A26" t="inlineStr">
        <is>
          <t>Sources</t>
        </is>
      </c>
      <c r="B26" t="inlineStr">
        <is>
          <t>Every source used.</t>
        </is>
      </c>
    </row>
    <row r="28">
      <c r="A28" s="12" t="inlineStr">
        <is>
          <t>Colour key: blue = hardcoded input; yellow fill = my own assumption; green = link to another tab; black = formula.</t>
        </is>
      </c>
    </row>
    <row r="29">
      <c r="A29" s="12" t="inlineStr">
        <is>
          <t>Companion note: 2026-10-06_TexasInstruments_Initiation.pdf. Personal research,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92" customWidth="1" min="4" max="4"/>
  </cols>
  <sheetData>
    <row r="1">
      <c r="A1" s="1" t="inlineStr">
        <is>
          <t>ASSUMPTIONS AND INPUTS</t>
        </is>
      </c>
    </row>
    <row r="2">
      <c r="A2" s="2" t="inlineStr">
        <is>
          <t>Tommy Lau | Texas Instruments (Nasdaq: TXN) | 6 October 2026 | Personal research, not investment advice.</t>
        </is>
      </c>
    </row>
    <row r="3">
      <c r="A3" s="12" t="inlineStr">
        <is>
          <t>Blue = hardcoded input. Yellow fill = my own assumption (change these to move the value). Green = link to another tab. Black = formula. US$ billion unless stated; per-share figures in US$.</t>
        </is>
      </c>
    </row>
    <row r="5">
      <c r="A5" s="3" t="inlineStr">
        <is>
          <t>Input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</t>
        </is>
      </c>
    </row>
    <row r="6">
      <c r="A6" s="11" t="inlineStr">
        <is>
          <t>MARKET (retrieved 6 October 2026)</t>
        </is>
      </c>
    </row>
    <row r="7">
      <c r="A7" t="inlineStr">
        <is>
          <t>Share price (Nasdaq: TXN)</t>
        </is>
      </c>
      <c r="B7" s="13" t="n">
        <v>294.9</v>
      </c>
      <c r="C7" t="inlineStr">
        <is>
          <t>US$</t>
        </is>
      </c>
      <c r="D7" s="7" t="inlineStr">
        <is>
          <t>Nasdaq close, 5 October 2026. Yahoo Finance.</t>
        </is>
      </c>
    </row>
    <row r="8">
      <c r="A8" t="inlineStr">
        <is>
          <t>52-week high</t>
        </is>
      </c>
      <c r="B8" s="13" t="n">
        <v>334.03</v>
      </c>
      <c r="C8" t="inlineStr">
        <is>
          <t>US$</t>
        </is>
      </c>
      <c r="D8" s="7" t="inlineStr">
        <is>
          <t>Yahoo Finance.</t>
        </is>
      </c>
    </row>
    <row r="9">
      <c r="A9" t="inlineStr">
        <is>
          <t>Month-end close, 30 Sep 2025</t>
        </is>
      </c>
      <c r="B9" s="13" t="n">
        <v>183.73</v>
      </c>
      <c r="C9" t="inlineStr">
        <is>
          <t>US$</t>
        </is>
      </c>
      <c r="D9" s="7" t="inlineStr">
        <is>
          <t>Yahoo Finance.</t>
        </is>
      </c>
    </row>
    <row r="10">
      <c r="A10" t="inlineStr">
        <is>
          <t>Diluted shares</t>
        </is>
      </c>
      <c r="B10" s="14" t="n">
        <v>0.92</v>
      </c>
      <c r="C10" t="inlineStr">
        <is>
          <t>bn</t>
        </is>
      </c>
      <c r="D10" s="7" t="inlineStr">
        <is>
          <t>Q2 2026 release: 920 million average diluted shares.</t>
        </is>
      </c>
    </row>
    <row r="11">
      <c r="A11" t="inlineStr">
        <is>
          <t>Cash and short-term investments, 30 Jun 2026</t>
        </is>
      </c>
      <c r="B11" s="13" t="n">
        <v>7.001</v>
      </c>
      <c r="C11" t="inlineStr">
        <is>
          <t>US$bn</t>
        </is>
      </c>
      <c r="D11" s="7" t="inlineStr">
        <is>
          <t>Q2 2026 release: 3.660 + 3.341.</t>
        </is>
      </c>
    </row>
    <row r="12">
      <c r="A12" t="inlineStr">
        <is>
          <t>Total debt, 30 Jun 2026</t>
        </is>
      </c>
      <c r="B12" s="13" t="n">
        <v>14.052</v>
      </c>
      <c r="C12" t="inlineStr">
        <is>
          <t>US$bn</t>
        </is>
      </c>
      <c r="D12" s="7" t="inlineStr">
        <is>
          <t>Q2 2026 release: long-term 12.903 + current portion 1.149.</t>
        </is>
      </c>
    </row>
    <row r="13">
      <c r="A13" t="inlineStr">
        <is>
          <t>Quarterly dividend from November 2026</t>
        </is>
      </c>
      <c r="B13" s="13" t="n">
        <v>1.52</v>
      </c>
      <c r="C13" t="inlineStr">
        <is>
          <t>US$</t>
        </is>
      </c>
      <c r="D13" s="7" t="inlineStr">
        <is>
          <t>TI 8-K of 17 September 2026: raised 7% from US$1.42.</t>
        </is>
      </c>
    </row>
    <row r="14">
      <c r="A14" t="inlineStr">
        <is>
          <t>2026 consensus EPS</t>
        </is>
      </c>
      <c r="B14" s="13" t="n">
        <v>8.49</v>
      </c>
      <c r="C14" t="inlineStr">
        <is>
          <t>US$</t>
        </is>
      </c>
      <c r="D14" s="7" t="inlineStr">
        <is>
          <t>stockanalysis.com, retrieved 6 October 2026.</t>
        </is>
      </c>
    </row>
    <row r="15">
      <c r="A15" t="inlineStr">
        <is>
          <t>2027 consensus EPS</t>
        </is>
      </c>
      <c r="B15" s="13" t="n">
        <v>10.64</v>
      </c>
      <c r="C15" t="inlineStr">
        <is>
          <t>US$</t>
        </is>
      </c>
      <c r="D15" s="7" t="inlineStr">
        <is>
          <t>stockanalysis.com, retrieved 6 October 2026.</t>
        </is>
      </c>
    </row>
    <row r="16">
      <c r="A16" t="inlineStr">
        <is>
          <t>2026 consensus revenue</t>
        </is>
      </c>
      <c r="B16" s="13" t="n">
        <v>21.91</v>
      </c>
      <c r="C16" t="inlineStr">
        <is>
          <t>US$bn</t>
        </is>
      </c>
      <c r="D16" s="7" t="inlineStr">
        <is>
          <t>stockanalysis.com, retrieved 6 October 2026.</t>
        </is>
      </c>
    </row>
    <row r="17">
      <c r="A17" t="inlineStr">
        <is>
          <t>Forward P/E shown by stockanalysis.com</t>
        </is>
      </c>
      <c r="B17" s="15" t="n">
        <v>30.47</v>
      </c>
      <c r="C17" t="inlineStr">
        <is>
          <t>x</t>
        </is>
      </c>
      <c r="D17" s="7" t="inlineStr">
        <is>
          <t>stockanalysis.com, 6 October 2026.</t>
        </is>
      </c>
    </row>
    <row r="18">
      <c r="A18" t="inlineStr">
        <is>
          <t>Average analyst target</t>
        </is>
      </c>
      <c r="B18" s="13" t="n">
        <v>324.71</v>
      </c>
      <c r="C18" t="inlineStr">
        <is>
          <t>US$</t>
        </is>
      </c>
      <c r="D18" s="7" t="inlineStr">
        <is>
          <t>stockanalysis.com, 36 analysts, 6 October 2026.</t>
        </is>
      </c>
    </row>
    <row r="19">
      <c r="A19" s="11" t="inlineStr">
        <is>
          <t>REPORTED (TI releases, Form 10-K, calls)</t>
        </is>
      </c>
    </row>
    <row r="20">
      <c r="A20" t="inlineStr">
        <is>
          <t>Data centre revenue, 2025</t>
        </is>
      </c>
      <c r="B20" s="13" t="n">
        <v>1.5</v>
      </c>
      <c r="C20" t="inlineStr">
        <is>
          <t>US$bn</t>
        </is>
      </c>
      <c r="D20" s="7" t="inlineStr">
        <is>
          <t>TI call, 27 January 2026: US$1.5bn, up 64%, 9% of revenue.</t>
        </is>
      </c>
    </row>
    <row r="21">
      <c r="A21" t="inlineStr">
        <is>
          <t>Data centre revenue, Q4 2025</t>
        </is>
      </c>
      <c r="B21" s="13" t="n">
        <v>0.45</v>
      </c>
      <c r="C21" t="inlineStr">
        <is>
          <t>US$bn</t>
        </is>
      </c>
      <c r="D21" s="7" t="inlineStr">
        <is>
          <t>TI call, 27 January 2026: left 2025 at about US$450m a quarter.</t>
        </is>
      </c>
    </row>
    <row r="22">
      <c r="A22" t="inlineStr">
        <is>
          <t>Data centre, Q4 2025 growth on Q3</t>
        </is>
      </c>
      <c r="B22" s="16" t="n">
        <v>0.05</v>
      </c>
      <c r="C22" t="inlineStr">
        <is>
          <t>%</t>
        </is>
      </c>
      <c r="D22" s="7" t="inlineStr">
        <is>
          <t>TI call, 27 January 2026: mid-single digits sequentially.</t>
        </is>
      </c>
    </row>
    <row r="23">
      <c r="A23" t="inlineStr">
        <is>
          <t>Data centre, Q1 2026 growth on a year earlier</t>
        </is>
      </c>
      <c r="B23" s="16" t="n">
        <v>0.9</v>
      </c>
      <c r="C23" t="inlineStr">
        <is>
          <t>%</t>
        </is>
      </c>
      <c r="D23" s="7" t="inlineStr">
        <is>
          <t>TI call, 22 April 2026, as reported: about 90%.</t>
        </is>
      </c>
    </row>
    <row r="24">
      <c r="A24" t="inlineStr">
        <is>
          <t>Data centre, Q2 2026 growth on a year earlier</t>
        </is>
      </c>
      <c r="B24" s="16" t="n">
        <v>1</v>
      </c>
      <c r="C24" t="inlineStr">
        <is>
          <t>%</t>
        </is>
      </c>
      <c r="D24" s="7" t="inlineStr">
        <is>
          <t>TI call, 22 July 2026: doubled.</t>
        </is>
      </c>
    </row>
    <row r="25">
      <c r="A25" t="inlineStr">
        <is>
          <t>Data centre, Q2 2026 growth on Q1</t>
        </is>
      </c>
      <c r="B25" s="16" t="n">
        <v>0.2</v>
      </c>
      <c r="C25" t="inlineStr">
        <is>
          <t>%</t>
        </is>
      </c>
      <c r="D25" s="7" t="inlineStr">
        <is>
          <t>TI call, 22 July 2026: around 20% sequentially.</t>
        </is>
      </c>
    </row>
    <row r="26">
      <c r="A26" t="inlineStr">
        <is>
          <t>2026 capital spending guide, low</t>
        </is>
      </c>
      <c r="B26" s="13" t="n">
        <v>2</v>
      </c>
      <c r="C26" t="inlineStr">
        <is>
          <t>US$bn</t>
        </is>
      </c>
      <c r="D26" s="7" t="inlineStr">
        <is>
          <t>2025 Form 10-K and Q2 2026 10-Q.</t>
        </is>
      </c>
    </row>
    <row r="27">
      <c r="A27" t="inlineStr">
        <is>
          <t>2026 capital spending guide, high</t>
        </is>
      </c>
      <c r="B27" s="13" t="n">
        <v>3</v>
      </c>
      <c r="C27" t="inlineStr">
        <is>
          <t>US$bn</t>
        </is>
      </c>
      <c r="D27" s="7" t="inlineStr">
        <is>
          <t>Same.</t>
        </is>
      </c>
    </row>
    <row r="28">
      <c r="A28" t="inlineStr">
        <is>
          <t>2026 depreciation guide, low</t>
        </is>
      </c>
      <c r="B28" s="13" t="n">
        <v>2.2</v>
      </c>
      <c r="C28" t="inlineStr">
        <is>
          <t>US$bn</t>
        </is>
      </c>
      <c r="D28" s="7" t="inlineStr">
        <is>
          <t>TI call, 27 January 2026.</t>
        </is>
      </c>
    </row>
    <row r="29">
      <c r="A29" t="inlineStr">
        <is>
          <t>2026 depreciation guide, high</t>
        </is>
      </c>
      <c r="B29" s="13" t="n">
        <v>2.4</v>
      </c>
      <c r="C29" t="inlineStr">
        <is>
          <t>US$bn</t>
        </is>
      </c>
      <c r="D29" s="7" t="inlineStr">
        <is>
          <t>Same.</t>
        </is>
      </c>
    </row>
    <row r="30">
      <c r="A30" t="inlineStr">
        <is>
          <t>Q3 2026 revenue guide, low</t>
        </is>
      </c>
      <c r="B30" s="13" t="n">
        <v>5.65</v>
      </c>
      <c r="C30" t="inlineStr">
        <is>
          <t>US$bn</t>
        </is>
      </c>
      <c r="D30" s="7" t="inlineStr">
        <is>
          <t>Release of 22 July 2026.</t>
        </is>
      </c>
    </row>
    <row r="31">
      <c r="A31" t="inlineStr">
        <is>
          <t>Q3 2026 revenue guide, high</t>
        </is>
      </c>
      <c r="B31" s="13" t="n">
        <v>6.15</v>
      </c>
      <c r="C31" t="inlineStr">
        <is>
          <t>US$bn</t>
        </is>
      </c>
      <c r="D31" s="7" t="inlineStr">
        <is>
          <t>Same.</t>
        </is>
      </c>
    </row>
    <row r="32">
      <c r="A32" t="inlineStr">
        <is>
          <t>Q3 2026 EPS guide, low</t>
        </is>
      </c>
      <c r="B32" s="13" t="n">
        <v>2.23</v>
      </c>
      <c r="C32" t="inlineStr">
        <is>
          <t>US$</t>
        </is>
      </c>
      <c r="D32" s="7" t="inlineStr">
        <is>
          <t>Same.</t>
        </is>
      </c>
    </row>
    <row r="33">
      <c r="A33" t="inlineStr">
        <is>
          <t>Q3 2026 EPS guide, high</t>
        </is>
      </c>
      <c r="B33" s="13" t="n">
        <v>2.57</v>
      </c>
      <c r="C33" t="inlineStr">
        <is>
          <t>US$</t>
        </is>
      </c>
      <c r="D33" s="7" t="inlineStr">
        <is>
          <t>Same.</t>
        </is>
      </c>
    </row>
    <row r="34">
      <c r="A34" s="11" t="inlineStr">
        <is>
          <t>MY ASSUMPTIONS</t>
        </is>
      </c>
    </row>
    <row r="35">
      <c r="A35" t="inlineStr">
        <is>
          <t>Other income less interest, per quarter</t>
        </is>
      </c>
      <c r="B35" s="17" t="n">
        <v>-0.08</v>
      </c>
      <c r="C35" t="inlineStr">
        <is>
          <t>US$bn</t>
        </is>
      </c>
      <c r="D35" s="7" t="inlineStr">
        <is>
          <t>MINE. Q2 2026: other income 0.069 less interest 0.141. Excludes any Silicon Labs debt.</t>
        </is>
      </c>
    </row>
    <row r="36">
      <c r="A36" t="inlineStr">
        <is>
          <t>Tax rate</t>
        </is>
      </c>
      <c r="B36" s="18" t="n">
        <v>0.13</v>
      </c>
      <c r="C36" t="inlineStr">
        <is>
          <t>%</t>
        </is>
      </c>
      <c r="D36" s="7" t="inlineStr">
        <is>
          <t>MINE. TI guides about 13% for Q3 2026 and 13 to 14% for 2026.</t>
        </is>
      </c>
    </row>
    <row r="37">
      <c r="A37" t="inlineStr">
        <is>
          <t>Q3 2026 revenue</t>
        </is>
      </c>
      <c r="B37" s="17" t="n">
        <v>5.95</v>
      </c>
      <c r="C37" t="inlineStr">
        <is>
          <t>US$bn</t>
        </is>
      </c>
      <c r="D37" s="7" t="inlineStr">
        <is>
          <t>MINE. Guide 5.65 to 6.15; loadings rising (Q2 call).</t>
        </is>
      </c>
    </row>
    <row r="38">
      <c r="A38" t="inlineStr">
        <is>
          <t>Q3 2026 operating margin</t>
        </is>
      </c>
      <c r="B38" s="18" t="n">
        <v>0.44</v>
      </c>
      <c r="C38" t="inlineStr">
        <is>
          <t>%</t>
        </is>
      </c>
      <c r="D38" s="7" t="inlineStr">
        <is>
          <t>MINE. Gives EPS at the US$2.40 guide midpoint.</t>
        </is>
      </c>
    </row>
    <row r="39">
      <c r="A39" t="inlineStr">
        <is>
          <t>Q4 2026 revenue</t>
        </is>
      </c>
      <c r="B39" s="17" t="n">
        <v>5.8</v>
      </c>
      <c r="C39" t="inlineStr">
        <is>
          <t>US$bn</t>
        </is>
      </c>
      <c r="D39" s="7" t="inlineStr">
        <is>
          <t>MINE. Fourth quarter seasonally softer (10-K).</t>
        </is>
      </c>
    </row>
    <row r="40">
      <c r="A40" t="inlineStr">
        <is>
          <t>Q4 2026 operating margin</t>
        </is>
      </c>
      <c r="B40" s="18" t="n">
        <v>0.43</v>
      </c>
      <c r="C40" t="inlineStr">
        <is>
          <t>%</t>
        </is>
      </c>
      <c r="D40" s="7" t="inlineStr">
        <is>
          <t>MINE.</t>
        </is>
      </c>
    </row>
    <row r="41">
      <c r="A41" t="inlineStr">
        <is>
          <t>Data centre revenue, Q3 2026</t>
        </is>
      </c>
      <c r="B41" s="17" t="n">
        <v>0.76</v>
      </c>
      <c r="C41" t="inlineStr">
        <is>
          <t>US$bn</t>
        </is>
      </c>
      <c r="D41" s="7" t="inlineStr">
        <is>
          <t>MINE. About 15% on Q2.</t>
        </is>
      </c>
    </row>
    <row r="42">
      <c r="A42" t="inlineStr">
        <is>
          <t>Data centre revenue, Q4 2026</t>
        </is>
      </c>
      <c r="B42" s="17" t="n">
        <v>0.8</v>
      </c>
      <c r="C42" t="inlineStr">
        <is>
          <t>US$bn</t>
        </is>
      </c>
      <c r="D42" s="7" t="inlineStr">
        <is>
          <t>MINE.</t>
        </is>
      </c>
    </row>
    <row r="43">
      <c r="A43" t="inlineStr">
        <is>
          <t>Fall-through before depreciation</t>
        </is>
      </c>
      <c r="B43" s="18" t="n">
        <v>0.75</v>
      </c>
      <c r="C43" t="inlineStr">
        <is>
          <t>%</t>
        </is>
      </c>
      <c r="D43" s="7" t="inlineStr">
        <is>
          <t>MINE. TI gives 70 to 85% (Q2 2026 call); I use 75%, in both directions.</t>
        </is>
      </c>
    </row>
    <row r="44">
      <c r="A44" t="inlineStr">
        <is>
          <t>Extra depreciation in 2027</t>
        </is>
      </c>
      <c r="B44" s="17" t="n">
        <v>0.2</v>
      </c>
      <c r="C44" t="inlineStr">
        <is>
          <t>US$bn</t>
        </is>
      </c>
      <c r="D44" s="7" t="inlineStr">
        <is>
          <t>MINE. TI: depreciation rises in 2027 at a slower rate (27 Jan 2026 call).</t>
        </is>
      </c>
    </row>
    <row r="45">
      <c r="A45" t="inlineStr">
        <is>
          <t>Extra depreciation in 2028</t>
        </is>
      </c>
      <c r="B45" s="17" t="n">
        <v>0.1</v>
      </c>
      <c r="C45" t="inlineStr">
        <is>
          <t>US$bn</t>
        </is>
      </c>
      <c r="D45" s="7" t="inlineStr">
        <is>
          <t>MINE.</t>
        </is>
      </c>
    </row>
    <row r="46">
      <c r="A46" t="inlineStr">
        <is>
          <t>Data centre growth, 2027</t>
        </is>
      </c>
      <c r="B46" s="18" t="n">
        <v>0.45</v>
      </c>
      <c r="C46" t="inlineStr">
        <is>
          <t>%</t>
        </is>
      </c>
      <c r="D46" s="7" t="inlineStr">
        <is>
          <t>MINE. 2026E about 85%.</t>
        </is>
      </c>
    </row>
    <row r="47">
      <c r="A47" t="inlineStr">
        <is>
          <t>Data centre growth, 2028</t>
        </is>
      </c>
      <c r="B47" s="18" t="n">
        <v>0.3</v>
      </c>
      <c r="C47" t="inlineStr">
        <is>
          <t>%</t>
        </is>
      </c>
      <c r="D47" s="7" t="inlineStr">
        <is>
          <t>MINE.</t>
        </is>
      </c>
    </row>
    <row r="48">
      <c r="A48" t="inlineStr">
        <is>
          <t>Rest of TI growth, 2027</t>
        </is>
      </c>
      <c r="B48" s="18" t="n">
        <v>0.075</v>
      </c>
      <c r="C48" t="inlineStr">
        <is>
          <t>%</t>
        </is>
      </c>
      <c r="D48" s="7" t="inlineStr">
        <is>
          <t>MINE. Third year of the analog upturn.</t>
        </is>
      </c>
    </row>
    <row r="49">
      <c r="A49" t="inlineStr">
        <is>
          <t>Rest of TI growth, 2028</t>
        </is>
      </c>
      <c r="B49" s="18" t="n">
        <v>0.02</v>
      </c>
      <c r="C49" t="inlineStr">
        <is>
          <t>%</t>
        </is>
      </c>
      <c r="D49" s="7" t="inlineStr">
        <is>
          <t>MINE. Upturn maturing.</t>
        </is>
      </c>
    </row>
    <row r="50">
      <c r="A50" t="inlineStr">
        <is>
          <t>Target multiple on 2028E EPS (base)</t>
        </is>
      </c>
      <c r="B50" s="19" t="n">
        <v>25</v>
      </c>
      <c r="C50" t="inlineStr">
        <is>
          <t>x</t>
        </is>
      </c>
      <c r="D50" s="7" t="inlineStr">
        <is>
          <t>MINE. Between the analog peer median (Peers tab) and TI's 30.5x today.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QUARTERLY HISTORY, Q1 2024 TO Q2 2026, AND MY Q3 / Q4 2026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>
        <is>
          <t>US$ billion unless stated</t>
        </is>
      </c>
      <c r="B4" s="4" t="inlineStr">
        <is>
          <t>Q1 24</t>
        </is>
      </c>
      <c r="C4" s="4" t="inlineStr">
        <is>
          <t>Q2 24</t>
        </is>
      </c>
      <c r="D4" s="4" t="inlineStr">
        <is>
          <t>Q3 24</t>
        </is>
      </c>
      <c r="E4" s="4" t="inlineStr">
        <is>
          <t>Q4 24</t>
        </is>
      </c>
      <c r="F4" s="4" t="inlineStr">
        <is>
          <t>Q1 25</t>
        </is>
      </c>
      <c r="G4" s="4" t="inlineStr">
        <is>
          <t>Q2 25</t>
        </is>
      </c>
      <c r="H4" s="4" t="inlineStr">
        <is>
          <t>Q3 25</t>
        </is>
      </c>
      <c r="I4" s="4" t="inlineStr">
        <is>
          <t>Q4 25</t>
        </is>
      </c>
      <c r="J4" s="4" t="inlineStr">
        <is>
          <t>Q1 26</t>
        </is>
      </c>
      <c r="K4" s="4" t="inlineStr">
        <is>
          <t>Q2 26</t>
        </is>
      </c>
      <c r="L4" s="4" t="inlineStr">
        <is>
          <t>Q3 26E</t>
        </is>
      </c>
      <c r="M4" s="4" t="inlineStr">
        <is>
          <t>Q4 26E</t>
        </is>
      </c>
    </row>
    <row r="5">
      <c r="A5" s="5" t="inlineStr">
        <is>
          <t>Revenue</t>
        </is>
      </c>
      <c r="B5" s="20" t="n">
        <v>3.661</v>
      </c>
      <c r="C5" s="20" t="n">
        <v>3.822</v>
      </c>
      <c r="D5" s="20" t="n">
        <v>4.151</v>
      </c>
      <c r="E5" s="20" t="n">
        <v>4.007</v>
      </c>
      <c r="F5" s="20" t="n">
        <v>4.069</v>
      </c>
      <c r="G5" s="20" t="n">
        <v>4.448</v>
      </c>
      <c r="H5" s="20" t="n">
        <v>4.742</v>
      </c>
      <c r="I5" s="20" t="n">
        <v>4.423</v>
      </c>
      <c r="J5" s="20" t="n">
        <v>4.825</v>
      </c>
      <c r="K5" s="20" t="n">
        <v>5.463</v>
      </c>
      <c r="L5" s="21">
        <f>Assumptions!$B$37</f>
        <v/>
      </c>
      <c r="M5" s="21">
        <f>Assumptions!$B$39</f>
        <v/>
      </c>
    </row>
    <row r="6">
      <c r="A6" s="22" t="inlineStr">
        <is>
          <t>Revenue growth y/y (derived)</t>
        </is>
      </c>
      <c r="B6" s="23" t="inlineStr"/>
      <c r="C6" s="23" t="inlineStr"/>
      <c r="D6" s="23" t="inlineStr"/>
      <c r="E6" s="23" t="inlineStr"/>
      <c r="F6" s="23">
        <f>F5/B5-1</f>
        <v/>
      </c>
      <c r="G6" s="23">
        <f>G5/C5-1</f>
        <v/>
      </c>
      <c r="H6" s="23">
        <f>H5/D5-1</f>
        <v/>
      </c>
      <c r="I6" s="23">
        <f>I5/E5-1</f>
        <v/>
      </c>
      <c r="J6" s="23">
        <f>J5/F5-1</f>
        <v/>
      </c>
      <c r="K6" s="23">
        <f>K5/G5-1</f>
        <v/>
      </c>
      <c r="L6" s="23">
        <f>L5/H5-1</f>
        <v/>
      </c>
      <c r="M6" s="23">
        <f>M5/I5-1</f>
        <v/>
      </c>
    </row>
    <row r="7">
      <c r="A7" s="22" t="inlineStr">
        <is>
          <t>Gross profit</t>
        </is>
      </c>
      <c r="B7" s="20" t="n">
        <v>2.095</v>
      </c>
      <c r="C7" s="20" t="n">
        <v>2.211</v>
      </c>
      <c r="D7" s="20" t="n">
        <v>2.474</v>
      </c>
      <c r="E7" s="20" t="n">
        <v>2.314</v>
      </c>
      <c r="F7" s="20" t="n">
        <v>2.313</v>
      </c>
      <c r="G7" s="20" t="n">
        <v>2.575</v>
      </c>
      <c r="H7" s="20" t="n">
        <v>2.723</v>
      </c>
      <c r="I7" s="20" t="n">
        <v>2.472</v>
      </c>
      <c r="J7" s="20" t="n">
        <v>2.799</v>
      </c>
      <c r="K7" s="20" t="n">
        <v>3.352</v>
      </c>
      <c r="L7" s="24" t="inlineStr"/>
      <c r="M7" s="24" t="inlineStr"/>
    </row>
    <row r="8">
      <c r="A8" s="5" t="inlineStr">
        <is>
          <t>Gross margin (derived)</t>
        </is>
      </c>
      <c r="B8" s="23">
        <f>B7/B5</f>
        <v/>
      </c>
      <c r="C8" s="23">
        <f>C7/C5</f>
        <v/>
      </c>
      <c r="D8" s="23">
        <f>D7/D5</f>
        <v/>
      </c>
      <c r="E8" s="23">
        <f>E7/E5</f>
        <v/>
      </c>
      <c r="F8" s="23">
        <f>F7/F5</f>
        <v/>
      </c>
      <c r="G8" s="23">
        <f>G7/G5</f>
        <v/>
      </c>
      <c r="H8" s="23">
        <f>H7/H5</f>
        <v/>
      </c>
      <c r="I8" s="23">
        <f>I7/I5</f>
        <v/>
      </c>
      <c r="J8" s="23">
        <f>J7/J5</f>
        <v/>
      </c>
      <c r="K8" s="23">
        <f>K7/K5</f>
        <v/>
      </c>
      <c r="L8" s="23" t="inlineStr"/>
      <c r="M8" s="23" t="inlineStr"/>
    </row>
    <row r="9">
      <c r="A9" s="22" t="inlineStr">
        <is>
          <t>Operating profit</t>
        </is>
      </c>
      <c r="B9" s="20" t="n">
        <v>1.286</v>
      </c>
      <c r="C9" s="20" t="n">
        <v>1.248</v>
      </c>
      <c r="D9" s="20" t="n">
        <v>1.554</v>
      </c>
      <c r="E9" s="20" t="n">
        <v>1.377</v>
      </c>
      <c r="F9" s="20" t="n">
        <v>1.324</v>
      </c>
      <c r="G9" s="20" t="n">
        <v>1.563</v>
      </c>
      <c r="H9" s="20" t="n">
        <v>1.663</v>
      </c>
      <c r="I9" s="20" t="n">
        <v>1.473</v>
      </c>
      <c r="J9" s="20" t="n">
        <v>1.808</v>
      </c>
      <c r="K9" s="20" t="n">
        <v>2.31</v>
      </c>
      <c r="L9" s="24">
        <f>L5*Assumptions!$B$38</f>
        <v/>
      </c>
      <c r="M9" s="24">
        <f>M5*Assumptions!$B$40</f>
        <v/>
      </c>
    </row>
    <row r="10">
      <c r="A10" s="22" t="inlineStr">
        <is>
          <t>Operating margin (derived)</t>
        </is>
      </c>
      <c r="B10" s="23">
        <f>B9/B5</f>
        <v/>
      </c>
      <c r="C10" s="23">
        <f>C9/C5</f>
        <v/>
      </c>
      <c r="D10" s="23">
        <f>D9/D5</f>
        <v/>
      </c>
      <c r="E10" s="23">
        <f>E9/E5</f>
        <v/>
      </c>
      <c r="F10" s="23">
        <f>F9/F5</f>
        <v/>
      </c>
      <c r="G10" s="23">
        <f>G9/G5</f>
        <v/>
      </c>
      <c r="H10" s="23">
        <f>H9/H5</f>
        <v/>
      </c>
      <c r="I10" s="23">
        <f>I9/I5</f>
        <v/>
      </c>
      <c r="J10" s="23">
        <f>J9/J5</f>
        <v/>
      </c>
      <c r="K10" s="23">
        <f>K9/K5</f>
        <v/>
      </c>
      <c r="L10" s="23">
        <f>L9/L5</f>
        <v/>
      </c>
      <c r="M10" s="23">
        <f>M9/M5</f>
        <v/>
      </c>
    </row>
    <row r="11">
      <c r="A11" s="5" t="inlineStr">
        <is>
          <t>Diluted EPS, US$ (reported; Q3 / Q4 26 mine)</t>
        </is>
      </c>
      <c r="B11" s="25" t="n">
        <v>1.2</v>
      </c>
      <c r="C11" s="25" t="n">
        <v>1.22</v>
      </c>
      <c r="D11" s="25" t="n">
        <v>1.47</v>
      </c>
      <c r="E11" s="25" t="n">
        <v>1.3</v>
      </c>
      <c r="F11" s="25" t="n">
        <v>1.28</v>
      </c>
      <c r="G11" s="25" t="n">
        <v>1.41</v>
      </c>
      <c r="H11" s="25" t="n">
        <v>1.48</v>
      </c>
      <c r="I11" s="25" t="n">
        <v>1.27</v>
      </c>
      <c r="J11" s="25" t="n">
        <v>1.68</v>
      </c>
      <c r="K11" s="25" t="n">
        <v>2.14</v>
      </c>
      <c r="L11" s="26">
        <f>(L9+Assumptions!$B$35)*(1-Assumptions!$B$36)/Assumptions!$B$10</f>
        <v/>
      </c>
      <c r="M11" s="26">
        <f>(M9+Assumptions!$B$35)*(1-Assumptions!$B$36)/Assumptions!$B$10</f>
        <v/>
      </c>
    </row>
    <row r="12">
      <c r="A12" s="22" t="inlineStr">
        <is>
          <t>Depreciation</t>
        </is>
      </c>
      <c r="B12" s="20" t="n">
        <v>0.346</v>
      </c>
      <c r="C12" s="20" t="n">
        <v>0.363</v>
      </c>
      <c r="D12" s="20" t="n">
        <v>0.383</v>
      </c>
      <c r="E12" s="20" t="n">
        <v>0.416</v>
      </c>
      <c r="F12" s="20" t="n">
        <v>0.424</v>
      </c>
      <c r="G12" s="20" t="n">
        <v>0.46</v>
      </c>
      <c r="H12" s="20" t="n">
        <v>0.497</v>
      </c>
      <c r="I12" s="20" t="n">
        <v>0.537</v>
      </c>
      <c r="J12" s="20" t="n">
        <v>0.541</v>
      </c>
      <c r="K12" s="20" t="n">
        <v>0.547</v>
      </c>
      <c r="L12" s="24" t="inlineStr"/>
      <c r="M12" s="24" t="inlineStr"/>
    </row>
    <row r="13">
      <c r="A13" s="22" t="inlineStr">
        <is>
          <t>Capital expenditures</t>
        </is>
      </c>
      <c r="B13" s="20" t="n">
        <v>1.248</v>
      </c>
      <c r="C13" s="20" t="n">
        <v>1.064</v>
      </c>
      <c r="D13" s="20" t="n">
        <v>1.316</v>
      </c>
      <c r="E13" s="20" t="n">
        <v>1.192</v>
      </c>
      <c r="F13" s="20" t="n">
        <v>1.123</v>
      </c>
      <c r="G13" s="20" t="n">
        <v>1.305</v>
      </c>
      <c r="H13" s="20" t="n">
        <v>1.197</v>
      </c>
      <c r="I13" s="20" t="n">
        <v>0.925</v>
      </c>
      <c r="J13" s="20" t="n">
        <v>0.676</v>
      </c>
      <c r="K13" s="20" t="n">
        <v>0.514</v>
      </c>
      <c r="L13" s="24" t="inlineStr"/>
      <c r="M13" s="24" t="inlineStr"/>
    </row>
    <row r="14">
      <c r="A14" s="22" t="inlineStr">
        <is>
          <t>Cash flow from operations</t>
        </is>
      </c>
      <c r="B14" s="20" t="n">
        <v>1.017</v>
      </c>
      <c r="C14" s="20" t="n">
        <v>1.571</v>
      </c>
      <c r="D14" s="20" t="n">
        <v>1.732</v>
      </c>
      <c r="E14" s="20" t="n">
        <v>1.998</v>
      </c>
      <c r="F14" s="20" t="n">
        <v>0.849</v>
      </c>
      <c r="G14" s="20" t="n">
        <v>1.86</v>
      </c>
      <c r="H14" s="20" t="n">
        <v>2.19</v>
      </c>
      <c r="I14" s="20" t="n">
        <v>2.254</v>
      </c>
      <c r="J14" s="20" t="n">
        <v>1.52</v>
      </c>
      <c r="K14" s="20" t="n">
        <v>2.703</v>
      </c>
      <c r="L14" s="24" t="inlineStr"/>
      <c r="M14" s="24" t="inlineStr"/>
    </row>
    <row r="15">
      <c r="A15" s="22" t="inlineStr">
        <is>
          <t>Proceeds from CHIPS Act incentives</t>
        </is>
      </c>
      <c r="B15" s="20" t="n">
        <v>0</v>
      </c>
      <c r="C15" s="20" t="n">
        <v>0</v>
      </c>
      <c r="D15" s="20" t="n">
        <v>0</v>
      </c>
      <c r="E15" s="20" t="n">
        <v>0</v>
      </c>
      <c r="F15" s="20" t="n">
        <v>0.26</v>
      </c>
      <c r="G15" s="20" t="n">
        <v>0</v>
      </c>
      <c r="H15" s="20" t="n">
        <v>0.075</v>
      </c>
      <c r="I15" s="20" t="n">
        <v>0</v>
      </c>
      <c r="J15" s="20" t="n">
        <v>0.555</v>
      </c>
      <c r="K15" s="20" t="n">
        <v>0.549</v>
      </c>
      <c r="L15" s="24" t="inlineStr"/>
      <c r="M15" s="24" t="inlineStr"/>
    </row>
    <row r="16">
      <c r="A16" s="5" t="inlineStr">
        <is>
          <t>Free cash flow (TI definition, derived)</t>
        </is>
      </c>
      <c r="B16" s="24">
        <f>B14-B13+B15</f>
        <v/>
      </c>
      <c r="C16" s="24">
        <f>C14-C13+C15</f>
        <v/>
      </c>
      <c r="D16" s="24">
        <f>D14-D13+D15</f>
        <v/>
      </c>
      <c r="E16" s="24">
        <f>E14-E13+E15</f>
        <v/>
      </c>
      <c r="F16" s="24">
        <f>F14-F13+F15</f>
        <v/>
      </c>
      <c r="G16" s="24">
        <f>G14-G13+G15</f>
        <v/>
      </c>
      <c r="H16" s="24">
        <f>H14-H13+H15</f>
        <v/>
      </c>
      <c r="I16" s="24">
        <f>I14-I13+I15</f>
        <v/>
      </c>
      <c r="J16" s="24">
        <f>J14-J13+J15</f>
        <v/>
      </c>
      <c r="K16" s="24">
        <f>K14-K13+K15</f>
        <v/>
      </c>
      <c r="L16" s="24" t="inlineStr"/>
      <c r="M16" s="24" t="inlineStr"/>
    </row>
    <row r="17">
      <c r="A17" s="22" t="inlineStr">
        <is>
          <t>Analog segment revenue</t>
        </is>
      </c>
      <c r="B17" s="20" t="n">
        <v>2.836</v>
      </c>
      <c r="C17" s="20" t="n">
        <v>2.928</v>
      </c>
      <c r="D17" s="20" t="n">
        <v>3.223</v>
      </c>
      <c r="E17" s="20" t="n">
        <v>3.174</v>
      </c>
      <c r="F17" s="20" t="n">
        <v>3.21</v>
      </c>
      <c r="G17" s="20" t="n">
        <v>3.452</v>
      </c>
      <c r="H17" s="20" t="n">
        <v>3.729</v>
      </c>
      <c r="I17" s="20" t="n">
        <v>3.615</v>
      </c>
      <c r="J17" s="20" t="n">
        <v>3.924</v>
      </c>
      <c r="K17" s="20" t="n">
        <v>4.365</v>
      </c>
      <c r="L17" s="24" t="inlineStr"/>
      <c r="M17" s="24" t="inlineStr"/>
    </row>
    <row r="19">
      <c r="A19" s="11" t="inlineStr">
        <is>
          <t>Checks</t>
        </is>
      </c>
    </row>
    <row r="20">
      <c r="A20" t="inlineStr">
        <is>
          <t>Trailing four quarters free cash flow to Q2 26 (TI: US$6.534bn)</t>
        </is>
      </c>
      <c r="B20" s="27">
        <f>SUM(H16:K16)</f>
        <v/>
      </c>
    </row>
    <row r="21">
      <c r="A21" t="inlineStr">
        <is>
          <t>Q2 26 depreciation, annualised</t>
        </is>
      </c>
      <c r="B21" s="27">
        <f>K12*4</f>
        <v/>
      </c>
    </row>
    <row r="22">
      <c r="A22" t="inlineStr">
        <is>
          <t>Q3 26 EPS guide midpoint</t>
        </is>
      </c>
      <c r="B22" s="28">
        <f>(Assumptions!$B$32+Assumptions!$B$33)/2</f>
        <v/>
      </c>
    </row>
    <row r="24">
      <c r="A24" s="12" t="inlineStr">
        <is>
          <t>Source: TI quarterly earnings releases (Exhibit 99 to Form 8-K), 23 April 2024 to 22 July 2026.</t>
        </is>
      </c>
    </row>
    <row r="25">
      <c r="A25" s="12" t="inlineStr">
        <is>
          <t>Q3 26E and Q4 26E are my estimates; EPS = (operating profit + other income less interest) x (1 - tax) / diluted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80" customWidth="1" min="3" max="3"/>
  </cols>
  <sheetData>
    <row r="1">
      <c r="A1" s="1" t="inlineStr">
        <is>
          <t>DATA CENTRE: TI'S STATED GROWTH RATES AND MY DERIVATION OF ITS SIZE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Q4 2025, US$bn</t>
        </is>
      </c>
      <c r="B5" s="27">
        <f>Assumptions!$B$21</f>
        <v/>
      </c>
      <c r="C5" s="7" t="inlineStr">
        <is>
          <t>TI: about US$450m a quarter exiting 2025.</t>
        </is>
      </c>
    </row>
    <row r="6">
      <c r="A6" t="inlineStr">
        <is>
          <t>Q3 2025, US$bn (derived)</t>
        </is>
      </c>
      <c r="B6" s="27">
        <f>B5/(1+Assumptions!$B$22)</f>
        <v/>
      </c>
      <c r="C6" s="7" t="inlineStr">
        <is>
          <t>Q4 grew mid-single digits on Q3.</t>
        </is>
      </c>
    </row>
    <row r="7">
      <c r="A7" t="inlineStr">
        <is>
          <t>Ratio of Q2 2025 to Q1 2025 (derived)</t>
        </is>
      </c>
      <c r="B7" s="29">
        <f>(1+Assumptions!$B$25)*(1+Assumptions!$B$23)/(1+Assumptions!$B$24)</f>
        <v/>
      </c>
      <c r="C7" s="7" t="inlineStr">
        <is>
          <t>Q2 26 = 2 x Q2 25 = 1.2 x Q1 26 = 1.2 x 1.9 x Q1 25.</t>
        </is>
      </c>
    </row>
    <row r="8">
      <c r="A8" t="inlineStr">
        <is>
          <t>Q1 2025, US$bn (derived)</t>
        </is>
      </c>
      <c r="B8" s="27">
        <f>(Assumptions!$B$20-B5-B6)/(1+B7)</f>
        <v/>
      </c>
      <c r="C8" s="7" t="inlineStr">
        <is>
          <t>The four quarters of 2025 sum to US$1.5bn.</t>
        </is>
      </c>
    </row>
    <row r="9">
      <c r="A9" t="inlineStr">
        <is>
          <t>Q2 2025, US$bn (derived)</t>
        </is>
      </c>
      <c r="B9" s="27">
        <f>B7*B8</f>
        <v/>
      </c>
      <c r="C9" s="7" t="inlineStr"/>
    </row>
    <row r="10">
      <c r="A10" t="inlineStr">
        <is>
          <t>Q1 2026, US$bn (derived)</t>
        </is>
      </c>
      <c r="B10" s="27">
        <f>B8*(1+Assumptions!$B$23)</f>
        <v/>
      </c>
      <c r="C10" s="7" t="inlineStr"/>
    </row>
    <row r="11">
      <c r="A11" t="inlineStr">
        <is>
          <t>Q2 2026, US$bn (derived)</t>
        </is>
      </c>
      <c r="B11" s="27">
        <f>B9*(1+Assumptions!$B$24)</f>
        <v/>
      </c>
      <c r="C11" s="7" t="inlineStr">
        <is>
          <t>My estimate; TI does not disclose the figure.</t>
        </is>
      </c>
    </row>
    <row r="12">
      <c r="A12" t="inlineStr">
        <is>
          <t>Q2 2026 share of TI revenue</t>
        </is>
      </c>
      <c r="B12" s="30">
        <f>B11/Quarterly!K5</f>
        <v/>
      </c>
      <c r="C12" s="7" t="inlineStr">
        <is>
          <t>Against 9% for 2025 (10-K).</t>
        </is>
      </c>
    </row>
    <row r="13">
      <c r="A13" t="inlineStr">
        <is>
          <t>Share of TI's y/y revenue growth in Q2 2026</t>
        </is>
      </c>
      <c r="B13" s="30">
        <f>(B11-B9)/(Quarterly!K5-Quarterly!G5)</f>
        <v/>
      </c>
      <c r="C13" s="7" t="inlineStr">
        <is>
          <t>Data centre's part of the US$1.0bn rise.</t>
        </is>
      </c>
    </row>
    <row r="14">
      <c r="A14" t="inlineStr">
        <is>
          <t>Q4 2025 share of TI revenue</t>
        </is>
      </c>
      <c r="B14" s="30">
        <f>B5/Quarterly!I5</f>
        <v/>
      </c>
      <c r="C14" s="7" t="inlineStr"/>
    </row>
    <row r="15">
      <c r="A15" t="inlineStr">
        <is>
          <t>2026E data centre revenue, US$bn</t>
        </is>
      </c>
      <c r="B15" s="27">
        <f>B10+B11+Assumptions!$B$41+Assumptions!$B$42</f>
        <v/>
      </c>
      <c r="C15" s="7" t="inlineStr">
        <is>
          <t>MINE for the second half.</t>
        </is>
      </c>
    </row>
    <row r="16">
      <c r="A16" t="inlineStr">
        <is>
          <t>2026E data centre growth</t>
        </is>
      </c>
      <c r="B16" s="30">
        <f>B15/Assumptions!$B$20-1</f>
        <v/>
      </c>
      <c r="C16" s="7" t="inlineStr"/>
    </row>
    <row r="18">
      <c r="A18" s="12" t="inlineStr">
        <is>
          <t>TI reports data centre growth rates on its calls but not quarterly dollar sizes. The quarterly figures here are my derivation from those rates and are approximate.</t>
        </is>
      </c>
    </row>
    <row r="19">
      <c r="A19" s="12" t="inlineStr">
        <is>
          <t>Sources: TI earnings calls of 27 January, 22 April and 22 July 2026; 2025 Form 10-K for the 9% share.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FINANCIAL SUMMARY AND FORECASTS (US$ billion unless stated)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/>
      <c r="B4" s="4" t="inlineStr">
        <is>
          <t>2022A</t>
        </is>
      </c>
      <c r="C4" s="4" t="inlineStr">
        <is>
          <t>2024A</t>
        </is>
      </c>
      <c r="D4" s="4" t="inlineStr">
        <is>
          <t>2025A</t>
        </is>
      </c>
      <c r="E4" s="4" t="inlineStr">
        <is>
          <t>2026E*</t>
        </is>
      </c>
      <c r="F4" s="4" t="inlineStr">
        <is>
          <t>2027E*</t>
        </is>
      </c>
      <c r="G4" s="4" t="inlineStr">
        <is>
          <t>2028E*</t>
        </is>
      </c>
    </row>
    <row r="5">
      <c r="A5" s="22" t="inlineStr">
        <is>
          <t>Data centre revenue</t>
        </is>
      </c>
      <c r="B5" s="31" t="inlineStr"/>
      <c r="C5" s="31" t="inlineStr"/>
      <c r="D5" s="32">
        <f>Assumptions!$B$20</f>
        <v/>
      </c>
      <c r="E5" s="31">
        <f>DataCentre!$B$15</f>
        <v/>
      </c>
      <c r="F5" s="31">
        <f>E5*(1+Assumptions!$B$46)</f>
        <v/>
      </c>
      <c r="G5" s="31">
        <f>F5*(1+Assumptions!$B$47)</f>
        <v/>
      </c>
    </row>
    <row r="6">
      <c r="A6" s="22" t="inlineStr">
        <is>
          <t>Rest of TI revenue</t>
        </is>
      </c>
      <c r="B6" s="31" t="inlineStr"/>
      <c r="C6" s="31" t="inlineStr"/>
      <c r="D6" s="31">
        <f>D7-D5</f>
        <v/>
      </c>
      <c r="E6" s="31">
        <f>E7-E5</f>
        <v/>
      </c>
      <c r="F6" s="31">
        <f>E6*(1+Assumptions!$B$48)</f>
        <v/>
      </c>
      <c r="G6" s="31">
        <f>F6*(1+Assumptions!$B$49)</f>
        <v/>
      </c>
    </row>
    <row r="7">
      <c r="A7" s="5" t="inlineStr">
        <is>
          <t>Revenue</t>
        </is>
      </c>
      <c r="B7" s="33" t="n">
        <v>20.028</v>
      </c>
      <c r="C7" s="33" t="n">
        <v>15.641</v>
      </c>
      <c r="D7" s="33" t="n">
        <v>17.682</v>
      </c>
      <c r="E7" s="31">
        <f>SUM(Quarterly!J5:M5)</f>
        <v/>
      </c>
      <c r="F7" s="31">
        <f>F5+F6</f>
        <v/>
      </c>
      <c r="G7" s="31">
        <f>G5+G6</f>
        <v/>
      </c>
    </row>
    <row r="8">
      <c r="A8" s="22" t="inlineStr">
        <is>
          <t>Revenue growth</t>
        </is>
      </c>
      <c r="B8" s="23" t="inlineStr"/>
      <c r="C8" s="23" t="inlineStr"/>
      <c r="D8" s="23">
        <f>D7/C7-1</f>
        <v/>
      </c>
      <c r="E8" s="23">
        <f>E7/D7-1</f>
        <v/>
      </c>
      <c r="F8" s="23">
        <f>F7/E7-1</f>
        <v/>
      </c>
      <c r="G8" s="23">
        <f>G7/F7-1</f>
        <v/>
      </c>
    </row>
    <row r="9">
      <c r="A9" s="22" t="inlineStr">
        <is>
          <t>Data centre share of revenue</t>
        </is>
      </c>
      <c r="B9" s="23" t="inlineStr"/>
      <c r="C9" s="23" t="inlineStr"/>
      <c r="D9" s="23">
        <f>D5/D7</f>
        <v/>
      </c>
      <c r="E9" s="23">
        <f>E5/E7</f>
        <v/>
      </c>
      <c r="F9" s="23">
        <f>F5/F7</f>
        <v/>
      </c>
      <c r="G9" s="23">
        <f>G5/G7</f>
        <v/>
      </c>
    </row>
    <row r="10">
      <c r="A10" s="22" t="inlineStr">
        <is>
          <t>Gross margin (reported; not modelled ahead)</t>
        </is>
      </c>
      <c r="B10" s="34" t="n">
        <v>0.6875873776712603</v>
      </c>
      <c r="C10" s="34" t="n">
        <v>0.5814206252797135</v>
      </c>
      <c r="D10" s="34" t="n">
        <v>0.5702409229725145</v>
      </c>
      <c r="E10" s="23" t="inlineStr"/>
      <c r="F10" s="23" t="inlineStr"/>
      <c r="G10" s="23" t="inlineStr"/>
    </row>
    <row r="11">
      <c r="A11" s="5" t="inlineStr">
        <is>
          <t>Operating profit</t>
        </is>
      </c>
      <c r="B11" s="33" t="n">
        <v>10.14</v>
      </c>
      <c r="C11" s="33" t="n">
        <v>5.465</v>
      </c>
      <c r="D11" s="33" t="n">
        <v>6.023</v>
      </c>
      <c r="E11" s="31">
        <f>SUM(Quarterly!J9:M9)</f>
        <v/>
      </c>
      <c r="F11" s="31">
        <f>E11+Assumptions!$B$43*(F7-E7)-Assumptions!$B$44</f>
        <v/>
      </c>
      <c r="G11" s="31">
        <f>F11+Assumptions!$B$43*(G7-F7)-Assumptions!$B$45</f>
        <v/>
      </c>
    </row>
    <row r="12">
      <c r="A12" s="22" t="inlineStr">
        <is>
          <t>Operating margin</t>
        </is>
      </c>
      <c r="B12" s="23">
        <f>B11/B7</f>
        <v/>
      </c>
      <c r="C12" s="23">
        <f>C11/C7</f>
        <v/>
      </c>
      <c r="D12" s="23">
        <f>D11/D7</f>
        <v/>
      </c>
      <c r="E12" s="23">
        <f>E11/E7</f>
        <v/>
      </c>
      <c r="F12" s="23">
        <f>F11/F7</f>
        <v/>
      </c>
      <c r="G12" s="23">
        <f>G11/G7</f>
        <v/>
      </c>
    </row>
    <row r="13">
      <c r="A13" s="22" t="inlineStr">
        <is>
          <t>Other income less interest</t>
        </is>
      </c>
      <c r="B13" s="31" t="inlineStr"/>
      <c r="C13" s="31" t="inlineStr"/>
      <c r="D13" s="31" t="inlineStr"/>
      <c r="E13" s="31">
        <f>4*Assumptions!$B$35</f>
        <v/>
      </c>
      <c r="F13" s="31">
        <f>4*Assumptions!$B$35</f>
        <v/>
      </c>
      <c r="G13" s="31">
        <f>4*Assumptions!$B$35</f>
        <v/>
      </c>
    </row>
    <row r="14">
      <c r="A14" s="22" t="inlineStr">
        <is>
          <t>Net income</t>
        </is>
      </c>
      <c r="B14" s="31" t="inlineStr"/>
      <c r="C14" s="31" t="inlineStr"/>
      <c r="D14" s="31" t="inlineStr"/>
      <c r="E14" s="31">
        <f>(E11+E13)*(1-Assumptions!$B$36)</f>
        <v/>
      </c>
      <c r="F14" s="31">
        <f>(F11+F13)*(1-Assumptions!$B$36)</f>
        <v/>
      </c>
      <c r="G14" s="31">
        <f>(G11+G13)*(1-Assumptions!$B$36)</f>
        <v/>
      </c>
    </row>
    <row r="15">
      <c r="A15" s="5" t="inlineStr">
        <is>
          <t>Diluted EPS, US$</t>
        </is>
      </c>
      <c r="B15" s="25" t="n">
        <v>9.41</v>
      </c>
      <c r="C15" s="25" t="n">
        <v>5.2</v>
      </c>
      <c r="D15" s="25" t="n">
        <v>5.45</v>
      </c>
      <c r="E15" s="26">
        <f>SUM(Quarterly!J11:M11)</f>
        <v/>
      </c>
      <c r="F15" s="26">
        <f>F14/Assumptions!$B$10</f>
        <v/>
      </c>
      <c r="G15" s="26">
        <f>G14/Assumptions!$B$10</f>
        <v/>
      </c>
    </row>
    <row r="16">
      <c r="A16" s="22" t="inlineStr">
        <is>
          <t>EPS growth</t>
        </is>
      </c>
      <c r="B16" s="23" t="inlineStr"/>
      <c r="C16" s="23" t="inlineStr"/>
      <c r="D16" s="23">
        <f>D15/C15-1</f>
        <v/>
      </c>
      <c r="E16" s="23">
        <f>E15/D15-1</f>
        <v/>
      </c>
      <c r="F16" s="23">
        <f>F15/E15-1</f>
        <v/>
      </c>
      <c r="G16" s="23">
        <f>G15/F15-1</f>
        <v/>
      </c>
    </row>
    <row r="17">
      <c r="A17" s="22" t="inlineStr">
        <is>
          <t>P/E at reference price</t>
        </is>
      </c>
      <c r="B17" s="35">
        <f>Assumptions!$B$7/B15</f>
        <v/>
      </c>
      <c r="C17" s="35">
        <f>Assumptions!$B$7/C15</f>
        <v/>
      </c>
      <c r="D17" s="35">
        <f>Assumptions!$B$7/D15</f>
        <v/>
      </c>
      <c r="E17" s="35">
        <f>Assumptions!$B$7/E15</f>
        <v/>
      </c>
      <c r="F17" s="35">
        <f>Assumptions!$B$7/F15</f>
        <v/>
      </c>
      <c r="G17" s="35">
        <f>Assumptions!$B$7/G15</f>
        <v/>
      </c>
    </row>
    <row r="18">
      <c r="A18" s="22" t="inlineStr">
        <is>
          <t>Depreciation</t>
        </is>
      </c>
      <c r="B18" s="33" t="n">
        <v>0.925</v>
      </c>
      <c r="C18" s="33" t="n">
        <v>1.508</v>
      </c>
      <c r="D18" s="33" t="n">
        <v>1.918</v>
      </c>
      <c r="E18" s="31">
        <f>(Assumptions!$B$28+Assumptions!$B$29)/2</f>
        <v/>
      </c>
      <c r="F18" s="31">
        <f>E18+Assumptions!$B$44</f>
        <v/>
      </c>
      <c r="G18" s="31">
        <f>F18+Assumptions!$B$45</f>
        <v/>
      </c>
    </row>
    <row r="19">
      <c r="A19" s="22" t="inlineStr">
        <is>
          <t>Capital expenditures</t>
        </is>
      </c>
      <c r="B19" s="33" t="n">
        <v>2.797</v>
      </c>
      <c r="C19" s="33" t="n">
        <v>4.82</v>
      </c>
      <c r="D19" s="33" t="n">
        <v>4.55</v>
      </c>
      <c r="E19" s="31">
        <f>(Assumptions!$B$26+Assumptions!$B$27)/2</f>
        <v/>
      </c>
      <c r="F19" s="31" t="inlineStr"/>
      <c r="G19" s="31" t="inlineStr"/>
    </row>
    <row r="20">
      <c r="A20" s="22" t="inlineStr">
        <is>
          <t>Cash flow from operations</t>
        </is>
      </c>
      <c r="B20" s="33" t="n">
        <v>8.720000000000001</v>
      </c>
      <c r="C20" s="33" t="n">
        <v>6.318</v>
      </c>
      <c r="D20" s="33" t="n">
        <v>7.153</v>
      </c>
      <c r="E20" s="31" t="inlineStr"/>
      <c r="F20" s="31" t="inlineStr"/>
      <c r="G20" s="31" t="inlineStr"/>
    </row>
    <row r="21">
      <c r="A21" s="22" t="inlineStr">
        <is>
          <t>Proceeds from CHIPS Act incentives</t>
        </is>
      </c>
      <c r="B21" s="33" t="n">
        <v>0</v>
      </c>
      <c r="C21" s="33" t="n">
        <v>0</v>
      </c>
      <c r="D21" s="33" t="n">
        <v>0.335</v>
      </c>
      <c r="E21" s="31" t="inlineStr"/>
      <c r="F21" s="31" t="inlineStr"/>
      <c r="G21" s="31" t="inlineStr"/>
    </row>
    <row r="22">
      <c r="A22" s="5" t="inlineStr">
        <is>
          <t>Free cash flow (TI definition)</t>
        </is>
      </c>
      <c r="B22" s="31">
        <f>B20-B19+B21</f>
        <v/>
      </c>
      <c r="C22" s="31">
        <f>C20-C19+C21</f>
        <v/>
      </c>
      <c r="D22" s="31">
        <f>D20-D19+D21</f>
        <v/>
      </c>
      <c r="E22" s="31" t="inlineStr"/>
      <c r="F22" s="31" t="inlineStr"/>
      <c r="G22" s="31" t="inlineStr"/>
    </row>
    <row r="23">
      <c r="A23" s="22" t="inlineStr">
        <is>
          <t>Dividends declared per share, US$</t>
        </is>
      </c>
      <c r="B23" s="25" t="n">
        <v>4.69</v>
      </c>
      <c r="C23" s="25" t="n">
        <v>5.26</v>
      </c>
      <c r="D23" s="25" t="n">
        <v>5.5</v>
      </c>
      <c r="E23" s="26" t="inlineStr"/>
      <c r="F23" s="26" t="inlineStr"/>
      <c r="G23" s="26" t="inlineStr"/>
    </row>
    <row r="26">
      <c r="A26" s="12" t="inlineStr">
        <is>
          <t>*2026E to 2028E are my own estimates. 2026E = reported Q1 and Q2 plus my Q3 and Q4 (Quarterly tab); 2026E EPS sums the quarters.</t>
        </is>
      </c>
    </row>
    <row r="27">
      <c r="A27" s="12" t="inlineStr">
        <is>
          <t>2027E and 2028E operating profit: prior year + fall-through x extra revenue - extra depreciation. EPS: (operating profit + other income less interest) x (1 - tax) / diluted shares.</t>
        </is>
      </c>
    </row>
    <row r="28">
      <c r="A28" s="12" t="inlineStr">
        <is>
          <t>History from SEC XBRL company facts (Forms 10-K). Silicon Labs, expected to close in the first half of 2027, is excluded.</t>
        </is>
      </c>
    </row>
    <row r="29">
      <c r="A29" s="12" t="inlineStr">
        <is>
          <t>Note check: 2026E revenue 22.04, EPS 8.50; 2027E 24.73, 10.15; 2028E 26.35, 11.20.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70" customWidth="1" min="3" max="3"/>
  </cols>
  <sheetData>
    <row r="1">
      <c r="A1" s="1" t="inlineStr">
        <is>
          <t>VALUATION: 25x 2028E EPS, TWELVE MONTHS OUT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2028E EPS, US$</t>
        </is>
      </c>
      <c r="B5" s="28">
        <f>Financials!G15</f>
        <v/>
      </c>
      <c r="C5" s="7" t="inlineStr">
        <is>
          <t>The market will be pricing 2028 by October 2027.</t>
        </is>
      </c>
    </row>
    <row r="6">
      <c r="A6" t="inlineStr">
        <is>
          <t>Base multiple, x</t>
        </is>
      </c>
      <c r="B6" s="36">
        <f>Assumptions!$B$50</f>
        <v/>
      </c>
      <c r="C6" s="7" t="inlineStr">
        <is>
          <t>Assumptions tab.</t>
        </is>
      </c>
    </row>
    <row r="7">
      <c r="A7" s="5" t="inlineStr">
        <is>
          <t>Base-case value per share, US$</t>
        </is>
      </c>
      <c r="B7" s="37">
        <f>B5*B6</f>
        <v/>
      </c>
      <c r="C7" s="7" t="inlineStr">
        <is>
          <t>EPS x multiple.</t>
        </is>
      </c>
    </row>
    <row r="8">
      <c r="A8" t="inlineStr">
        <is>
          <t>Reference price, US$</t>
        </is>
      </c>
      <c r="B8" s="28">
        <f>Assumptions!$B$7</f>
        <v/>
      </c>
      <c r="C8" s="7" t="inlineStr">
        <is>
          <t>Nasdaq close, 5 October 2026.</t>
        </is>
      </c>
    </row>
    <row r="9">
      <c r="A9" t="inlineStr">
        <is>
          <t>Base value against the price</t>
        </is>
      </c>
      <c r="B9" s="30">
        <f>B7/B8-1</f>
        <v/>
      </c>
      <c r="C9" s="7" t="inlineStr">
        <is>
          <t>Within +/- 15%: no call on value alone.</t>
        </is>
      </c>
    </row>
    <row r="10">
      <c r="A10" t="inlineStr">
        <is>
          <t>Probability-weighted value, US$</t>
        </is>
      </c>
      <c r="B10" s="28">
        <f>Scenarios!K12</f>
        <v/>
      </c>
      <c r="C10" s="7" t="inlineStr">
        <is>
          <t>Scenarios tab.</t>
        </is>
      </c>
    </row>
    <row r="11">
      <c r="A11" s="5" t="inlineStr">
        <is>
          <t>CALL</t>
        </is>
      </c>
      <c r="B11" s="38">
        <f>IF(B9&gt;0.15,"LONG",IF(B9&lt;-0.15,"SHORT","NO CALL"))</f>
        <v/>
      </c>
      <c r="C11" s="7" t="inlineStr">
        <is>
          <t>Rule of thumb: 15% either side of the price. Conviction is judgement. Tommy Lau's call, 6 Oct 2026.</t>
        </is>
      </c>
    </row>
    <row r="12">
      <c r="A12" t="inlineStr"/>
      <c r="C12" s="7" t="inlineStr"/>
    </row>
    <row r="13">
      <c r="A13" t="inlineStr">
        <is>
          <t>Market value on diluted shares, US$bn</t>
        </is>
      </c>
      <c r="B13" s="39">
        <f>Assumptions!$B$7*Assumptions!$B$10</f>
        <v/>
      </c>
      <c r="C13" s="7" t="inlineStr"/>
    </row>
    <row r="14">
      <c r="A14" t="inlineStr">
        <is>
          <t>Net debt, US$bn</t>
        </is>
      </c>
      <c r="B14" s="40">
        <f>Assumptions!$B$12-Assumptions!$B$11</f>
        <v/>
      </c>
      <c r="C14" s="7" t="inlineStr">
        <is>
          <t>30 June 2026, before Silicon Labs (about US$7.5bn).</t>
        </is>
      </c>
    </row>
    <row r="15">
      <c r="A15" t="inlineStr">
        <is>
          <t>Enterprise value, US$bn</t>
        </is>
      </c>
      <c r="B15" s="39">
        <f>B13+B14</f>
        <v/>
      </c>
      <c r="C15" s="7" t="inlineStr"/>
    </row>
    <row r="16">
      <c r="A16" t="inlineStr">
        <is>
          <t>Dividend yield at the new rate</t>
        </is>
      </c>
      <c r="B16" s="41">
        <f>4*Assumptions!$B$13/Assumptions!$B$7</f>
        <v/>
      </c>
      <c r="C16" s="7" t="inlineStr">
        <is>
          <t>US$6.08 a year.</t>
        </is>
      </c>
    </row>
    <row r="17">
      <c r="A17" t="inlineStr">
        <is>
          <t>Change since 30 Sep 2025</t>
        </is>
      </c>
      <c r="B17" s="30">
        <f>Assumptions!$B$7/Assumptions!$B$9-1</f>
        <v/>
      </c>
      <c r="C17" s="7" t="inlineStr"/>
    </row>
    <row r="18">
      <c r="A18" t="inlineStr">
        <is>
          <t>Price below the 52-week high</t>
        </is>
      </c>
      <c r="B18" s="30">
        <f>1-Assumptions!$B$7/Assumptions!$B$8</f>
        <v/>
      </c>
      <c r="C18" s="7" t="inlineStr"/>
    </row>
    <row r="19">
      <c r="A19" t="inlineStr"/>
      <c r="C19" s="7" t="inlineStr"/>
    </row>
    <row r="20">
      <c r="A20" t="inlineStr">
        <is>
          <t>P/E on my 2026E</t>
        </is>
      </c>
      <c r="B20" s="42">
        <f>Financials!E17</f>
        <v/>
      </c>
      <c r="C20" s="7" t="inlineStr"/>
    </row>
    <row r="21">
      <c r="A21" t="inlineStr">
        <is>
          <t>P/E on my 2027E</t>
        </is>
      </c>
      <c r="B21" s="42">
        <f>Financials!F17</f>
        <v/>
      </c>
      <c r="C21" s="7" t="inlineStr"/>
    </row>
    <row r="22">
      <c r="A22" t="inlineStr">
        <is>
          <t>P/E on the 2027 consensus</t>
        </is>
      </c>
      <c r="B22" s="42">
        <f>Assumptions!$B$7/Assumptions!$B$15</f>
        <v/>
      </c>
      <c r="C22" s="7" t="inlineStr">
        <is>
          <t>stockanalysis.com US$10.64.</t>
        </is>
      </c>
    </row>
    <row r="23">
      <c r="A23" t="inlineStr">
        <is>
          <t>P/E on my 2028E</t>
        </is>
      </c>
      <c r="B23" s="42">
        <f>Financials!G17</f>
        <v/>
      </c>
      <c r="C23" s="7" t="inlineStr"/>
    </row>
    <row r="24">
      <c r="A24" t="inlineStr">
        <is>
          <t>My 2027E EPS against consensus</t>
        </is>
      </c>
      <c r="B24" s="30">
        <f>Financials!F15/Assumptions!$B$15-1</f>
        <v/>
      </c>
      <c r="C24" s="7" t="inlineStr"/>
    </row>
    <row r="25">
      <c r="A25" t="inlineStr"/>
      <c r="C25" s="7" t="inlineStr"/>
    </row>
    <row r="26">
      <c r="A26" t="inlineStr">
        <is>
          <t>2028 EPS the price needs at the base multiple, US$</t>
        </is>
      </c>
      <c r="B26" s="28">
        <f>Assumptions!$B$7/Assumptions!$B$50</f>
        <v/>
      </c>
      <c r="C26" s="7" t="inlineStr">
        <is>
          <t>What the market prices in.</t>
        </is>
      </c>
    </row>
    <row r="27">
      <c r="A27" t="inlineStr">
        <is>
          <t>2028 operating profit that needs, US$bn</t>
        </is>
      </c>
      <c r="B27" s="40">
        <f>B26*Assumptions!$B$10/(1-Assumptions!$B$36)-4*Assumptions!$B$35</f>
        <v/>
      </c>
      <c r="C27" s="7" t="inlineStr"/>
    </row>
    <row r="28">
      <c r="A28" t="inlineStr">
        <is>
          <t>2028 revenue that needs on my margin bridge, US$bn</t>
        </is>
      </c>
      <c r="B28" s="40">
        <f>Financials!F7+(B27-Financials!F11+Assumptions!$B$45)/Assumptions!$B$43</f>
        <v/>
      </c>
      <c r="C28" s="7" t="inlineStr">
        <is>
          <t>Against my US$26.35bn.</t>
        </is>
      </c>
    </row>
    <row r="29">
      <c r="A29" t="inlineStr">
        <is>
          <t>That revenue against the 2022 peak</t>
        </is>
      </c>
      <c r="B29" s="30">
        <f>B28/Financials!B7-1</f>
        <v/>
      </c>
      <c r="C29" s="7" t="inlineStr">
        <is>
          <t>2022 revenue US$20.03bn.</t>
        </is>
      </c>
    </row>
    <row r="30">
      <c r="A30" t="inlineStr">
        <is>
          <t>2022 gross margin</t>
        </is>
      </c>
      <c r="B30" s="30">
        <f>Financials!B10</f>
        <v/>
      </c>
      <c r="C30" s="7" t="inlineStr">
        <is>
          <t>Against 61.4% in Q2 2026.</t>
        </is>
      </c>
    </row>
    <row r="31">
      <c r="A31" t="inlineStr">
        <is>
          <t>2026 free cash flow on TI's framework at my revenue, US$bn</t>
        </is>
      </c>
      <c r="B31" s="40">
        <f>9.5+(Financials!E7-22)*0.5</f>
        <v/>
      </c>
      <c r="C31" s="7" t="inlineStr">
        <is>
          <t>TI: US$8 to 9bn at US$20bn revenue, US$9 to 10bn at US$22bn (Q2 2026 call); midpoints interpolated.</t>
        </is>
      </c>
    </row>
    <row r="32">
      <c r="A32" t="inlineStr">
        <is>
          <t>Per share, US$</t>
        </is>
      </c>
      <c r="B32" s="28">
        <f>B31/Assumptions!$B$10</f>
        <v/>
      </c>
      <c r="C32" s="7" t="inlineStr"/>
    </row>
    <row r="33">
      <c r="A33" t="inlineStr">
        <is>
          <t>Free cash flow yield at the price</t>
        </is>
      </c>
      <c r="B33" s="41">
        <f>B32/Assumptions!$B$7</f>
        <v/>
      </c>
      <c r="C33" s="7" t="inlineStr">
        <is>
          <t>Includes CHIPS Act cash.</t>
        </is>
      </c>
    </row>
    <row r="34">
      <c r="A34" t="inlineStr">
        <is>
          <t>Price that puts the base case 15% above</t>
        </is>
      </c>
      <c r="B34" s="28">
        <f>B7/1.15</f>
        <v/>
      </c>
      <c r="C34" s="7" t="inlineStr">
        <is>
          <t>The 'revisit below about US$244' line.</t>
        </is>
      </c>
    </row>
    <row r="35">
      <c r="A35" t="inlineStr">
        <is>
          <t>Data centre share of revenue, 2028E</t>
        </is>
      </c>
      <c r="B35" s="30">
        <f>Financials!G9</f>
        <v/>
      </c>
      <c r="C35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THREE CASES, TWELVE MONTHS OUT, AND WHICH DRIVER MATTERS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>
        <is>
          <t>Case</t>
        </is>
      </c>
      <c r="B4" s="4" t="inlineStr">
        <is>
          <t>DC growth 27</t>
        </is>
      </c>
      <c r="C4" s="4" t="inlineStr">
        <is>
          <t>DC growth 28</t>
        </is>
      </c>
      <c r="D4" s="4" t="inlineStr">
        <is>
          <t>Rest growth 27</t>
        </is>
      </c>
      <c r="E4" s="4" t="inlineStr">
        <is>
          <t>Rest growth 28</t>
        </is>
      </c>
      <c r="F4" s="4" t="inlineStr">
        <is>
          <t>2027 revenue</t>
        </is>
      </c>
      <c r="G4" s="4" t="inlineStr">
        <is>
          <t>2028 revenue</t>
        </is>
      </c>
      <c r="H4" s="4" t="inlineStr">
        <is>
          <t>2028 op. profit</t>
        </is>
      </c>
      <c r="I4" s="4" t="inlineStr">
        <is>
          <t>2028 EPS</t>
        </is>
      </c>
      <c r="J4" s="4" t="inlineStr">
        <is>
          <t>Multiple</t>
        </is>
      </c>
      <c r="K4" s="4" t="inlineStr">
        <is>
          <t>Value, US$</t>
        </is>
      </c>
      <c r="L4" s="4" t="inlineStr">
        <is>
          <t>vs price</t>
        </is>
      </c>
    </row>
    <row r="5">
      <c r="A5" s="5" t="inlineStr">
        <is>
          <t>Bear</t>
        </is>
      </c>
      <c r="B5" s="18" t="n">
        <v>0.25</v>
      </c>
      <c r="C5" s="18" t="n">
        <v>0.15</v>
      </c>
      <c r="D5" s="18" t="n">
        <v>-0.08</v>
      </c>
      <c r="E5" s="18" t="n">
        <v>-0.02</v>
      </c>
      <c r="F5" s="40">
        <f>Financials!$E$5*(1+B5)+Financials!$E$6*(1+D5)</f>
        <v/>
      </c>
      <c r="G5" s="40">
        <f>Financials!$E$5*(1+B5)*(1+C5)+Financials!$E$6*(1+D5)*(1+E5)</f>
        <v/>
      </c>
      <c r="H5" s="40">
        <f>Financials!$E$11+Assumptions!$B$43*(G5-Financials!$E$7)-Assumptions!$B$44-Assumptions!$B$45</f>
        <v/>
      </c>
      <c r="I5" s="28">
        <f>(H5+4*Assumptions!$B$35)*(1-Assumptions!$B$36)/Assumptions!$B$10</f>
        <v/>
      </c>
      <c r="J5" s="19" t="n">
        <v>22</v>
      </c>
      <c r="K5" s="28">
        <f>I5*J5</f>
        <v/>
      </c>
      <c r="L5" s="43">
        <f>K5/Assumptions!$B$7-1</f>
        <v/>
      </c>
    </row>
    <row r="6">
      <c r="A6" s="5" t="inlineStr">
        <is>
          <t>Base</t>
        </is>
      </c>
      <c r="B6" s="44">
        <f>Assumptions!$B$46</f>
        <v/>
      </c>
      <c r="C6" s="44">
        <f>Assumptions!$B$47</f>
        <v/>
      </c>
      <c r="D6" s="44">
        <f>Assumptions!$B$48</f>
        <v/>
      </c>
      <c r="E6" s="44">
        <f>Assumptions!$B$49</f>
        <v/>
      </c>
      <c r="F6" s="40">
        <f>Financials!$E$5*(1+B6)+Financials!$E$6*(1+D6)</f>
        <v/>
      </c>
      <c r="G6" s="40">
        <f>Financials!$E$5*(1+B6)*(1+C6)+Financials!$E$6*(1+D6)*(1+E6)</f>
        <v/>
      </c>
      <c r="H6" s="40">
        <f>Financials!$E$11+Assumptions!$B$43*(G6-Financials!$E$7)-Assumptions!$B$44-Assumptions!$B$45</f>
        <v/>
      </c>
      <c r="I6" s="28">
        <f>(H6+4*Assumptions!$B$35)*(1-Assumptions!$B$36)/Assumptions!$B$10</f>
        <v/>
      </c>
      <c r="J6" s="45">
        <f>Assumptions!$B$50</f>
        <v/>
      </c>
      <c r="K6" s="28">
        <f>I6*J6</f>
        <v/>
      </c>
      <c r="L6" s="43">
        <f>K6/Assumptions!$B$7-1</f>
        <v/>
      </c>
    </row>
    <row r="7">
      <c r="A7" s="5" t="inlineStr">
        <is>
          <t>Bull</t>
        </is>
      </c>
      <c r="B7" s="18" t="n">
        <v>0.6</v>
      </c>
      <c r="C7" s="18" t="n">
        <v>0.4</v>
      </c>
      <c r="D7" s="18" t="n">
        <v>0.12</v>
      </c>
      <c r="E7" s="18" t="n">
        <v>0.06</v>
      </c>
      <c r="F7" s="40">
        <f>Financials!$E$5*(1+B7)+Financials!$E$6*(1+D7)</f>
        <v/>
      </c>
      <c r="G7" s="40">
        <f>Financials!$E$5*(1+B7)*(1+C7)+Financials!$E$6*(1+D7)*(1+E7)</f>
        <v/>
      </c>
      <c r="H7" s="40">
        <f>Financials!$E$11+Assumptions!$B$43*(G7-Financials!$E$7)-Assumptions!$B$44-Assumptions!$B$45</f>
        <v/>
      </c>
      <c r="I7" s="28">
        <f>(H7+4*Assumptions!$B$35)*(1-Assumptions!$B$36)/Assumptions!$B$10</f>
        <v/>
      </c>
      <c r="J7" s="19" t="n">
        <v>28</v>
      </c>
      <c r="K7" s="28">
        <f>I7*J7</f>
        <v/>
      </c>
      <c r="L7" s="43">
        <f>K7/Assumptions!$B$7-1</f>
        <v/>
      </c>
    </row>
    <row r="9">
      <c r="B9" s="5" t="inlineStr">
        <is>
          <t>Bear</t>
        </is>
      </c>
      <c r="C9" s="5" t="inlineStr">
        <is>
          <t>Base</t>
        </is>
      </c>
      <c r="D9" s="5" t="inlineStr">
        <is>
          <t>Bull</t>
        </is>
      </c>
    </row>
    <row r="10">
      <c r="A10" s="5" t="inlineStr">
        <is>
          <t>Probability</t>
        </is>
      </c>
      <c r="B10" s="46" t="n">
        <v>0.25</v>
      </c>
      <c r="C10" s="46" t="n">
        <v>0.5</v>
      </c>
      <c r="D10" s="46" t="n">
        <v>0.25</v>
      </c>
      <c r="E10" s="43">
        <f>SUM(B10:D10)</f>
        <v/>
      </c>
      <c r="F10" s="12" t="inlineStr">
        <is>
          <t>must be 100%</t>
        </is>
      </c>
    </row>
    <row r="12">
      <c r="A12" s="5" t="inlineStr">
        <is>
          <t>Probability-weighted value, US$</t>
        </is>
      </c>
      <c r="K12" s="37">
        <f>B10*K5+C10*K6+D10*K7</f>
        <v/>
      </c>
      <c r="L12" s="30">
        <f>K12/Assumptions!$B$7-1</f>
        <v/>
      </c>
    </row>
    <row r="14">
      <c r="A14" s="11" t="inlineStr">
        <is>
          <t>Which driver matters: swap one driver from bear to bull, the other held at base</t>
        </is>
      </c>
    </row>
    <row r="15">
      <c r="A15" s="3" t="inlineStr">
        <is>
          <t>Case</t>
        </is>
      </c>
      <c r="B15" s="4" t="inlineStr">
        <is>
          <t>DC growth 27</t>
        </is>
      </c>
      <c r="C15" s="4" t="inlineStr">
        <is>
          <t>DC growth 28</t>
        </is>
      </c>
      <c r="D15" s="4" t="inlineStr">
        <is>
          <t>Rest growth 27</t>
        </is>
      </c>
      <c r="E15" s="4" t="inlineStr">
        <is>
          <t>Rest growth 28</t>
        </is>
      </c>
      <c r="F15" s="4" t="inlineStr">
        <is>
          <t>2027 revenue</t>
        </is>
      </c>
      <c r="G15" s="4" t="inlineStr">
        <is>
          <t>2028 revenue</t>
        </is>
      </c>
      <c r="H15" s="4" t="inlineStr">
        <is>
          <t>2028 op. profit</t>
        </is>
      </c>
      <c r="I15" s="4" t="inlineStr">
        <is>
          <t>2028 EPS</t>
        </is>
      </c>
      <c r="J15" s="4" t="inlineStr">
        <is>
          <t>Multiple</t>
        </is>
      </c>
      <c r="K15" s="4" t="inlineStr">
        <is>
          <t>Value, US$</t>
        </is>
      </c>
      <c r="L15" s="4" t="inlineStr">
        <is>
          <t>vs price</t>
        </is>
      </c>
    </row>
    <row r="16">
      <c r="A16" s="5" t="inlineStr">
        <is>
          <t>Data centre bear, rest base</t>
        </is>
      </c>
      <c r="B16" s="30">
        <f>B5</f>
        <v/>
      </c>
      <c r="C16" s="30">
        <f>C5</f>
        <v/>
      </c>
      <c r="D16" s="44">
        <f>Assumptions!$B$48</f>
        <v/>
      </c>
      <c r="E16" s="44">
        <f>Assumptions!$B$49</f>
        <v/>
      </c>
      <c r="F16" s="40">
        <f>Financials!$E$5*(1+B16)+Financials!$E$6*(1+D16)</f>
        <v/>
      </c>
      <c r="G16" s="40">
        <f>Financials!$E$5*(1+B16)*(1+C16)+Financials!$E$6*(1+D16)*(1+E16)</f>
        <v/>
      </c>
      <c r="H16" s="40">
        <f>Financials!$E$11+Assumptions!$B$43*(G16-Financials!$E$7)-Assumptions!$B$44-Assumptions!$B$45</f>
        <v/>
      </c>
      <c r="I16" s="28">
        <f>(H16+4*Assumptions!$B$35)*(1-Assumptions!$B$36)/Assumptions!$B$10</f>
        <v/>
      </c>
      <c r="J16" s="45">
        <f>Assumptions!$B$50</f>
        <v/>
      </c>
      <c r="K16" s="28">
        <f>I16*J16</f>
        <v/>
      </c>
      <c r="L16" s="43">
        <f>K16/Assumptions!$B$7-1</f>
        <v/>
      </c>
    </row>
    <row r="17">
      <c r="A17" s="5" t="inlineStr">
        <is>
          <t>Data centre bull, rest base</t>
        </is>
      </c>
      <c r="B17" s="30">
        <f>B7</f>
        <v/>
      </c>
      <c r="C17" s="30">
        <f>C7</f>
        <v/>
      </c>
      <c r="D17" s="44">
        <f>Assumptions!$B$48</f>
        <v/>
      </c>
      <c r="E17" s="44">
        <f>Assumptions!$B$49</f>
        <v/>
      </c>
      <c r="F17" s="40">
        <f>Financials!$E$5*(1+B17)+Financials!$E$6*(1+D17)</f>
        <v/>
      </c>
      <c r="G17" s="40">
        <f>Financials!$E$5*(1+B17)*(1+C17)+Financials!$E$6*(1+D17)*(1+E17)</f>
        <v/>
      </c>
      <c r="H17" s="40">
        <f>Financials!$E$11+Assumptions!$B$43*(G17-Financials!$E$7)-Assumptions!$B$44-Assumptions!$B$45</f>
        <v/>
      </c>
      <c r="I17" s="28">
        <f>(H17+4*Assumptions!$B$35)*(1-Assumptions!$B$36)/Assumptions!$B$10</f>
        <v/>
      </c>
      <c r="J17" s="45">
        <f>Assumptions!$B$50</f>
        <v/>
      </c>
      <c r="K17" s="28">
        <f>I17*J17</f>
        <v/>
      </c>
      <c r="L17" s="43">
        <f>K17/Assumptions!$B$7-1</f>
        <v/>
      </c>
    </row>
    <row r="18">
      <c r="A18" s="5" t="inlineStr">
        <is>
          <t>Rest bear, data centre base</t>
        </is>
      </c>
      <c r="B18" s="44">
        <f>Assumptions!$B$46</f>
        <v/>
      </c>
      <c r="C18" s="44">
        <f>Assumptions!$B$47</f>
        <v/>
      </c>
      <c r="D18" s="30">
        <f>D5</f>
        <v/>
      </c>
      <c r="E18" s="30">
        <f>E5</f>
        <v/>
      </c>
      <c r="F18" s="40">
        <f>Financials!$E$5*(1+B18)+Financials!$E$6*(1+D18)</f>
        <v/>
      </c>
      <c r="G18" s="40">
        <f>Financials!$E$5*(1+B18)*(1+C18)+Financials!$E$6*(1+D18)*(1+E18)</f>
        <v/>
      </c>
      <c r="H18" s="40">
        <f>Financials!$E$11+Assumptions!$B$43*(G18-Financials!$E$7)-Assumptions!$B$44-Assumptions!$B$45</f>
        <v/>
      </c>
      <c r="I18" s="28">
        <f>(H18+4*Assumptions!$B$35)*(1-Assumptions!$B$36)/Assumptions!$B$10</f>
        <v/>
      </c>
      <c r="J18" s="45">
        <f>Assumptions!$B$50</f>
        <v/>
      </c>
      <c r="K18" s="28">
        <f>I18*J18</f>
        <v/>
      </c>
      <c r="L18" s="43">
        <f>K18/Assumptions!$B$7-1</f>
        <v/>
      </c>
    </row>
    <row r="19">
      <c r="A19" s="5" t="inlineStr">
        <is>
          <t>Rest bull, data centre base</t>
        </is>
      </c>
      <c r="B19" s="44">
        <f>Assumptions!$B$46</f>
        <v/>
      </c>
      <c r="C19" s="44">
        <f>Assumptions!$B$47</f>
        <v/>
      </c>
      <c r="D19" s="30">
        <f>D7</f>
        <v/>
      </c>
      <c r="E19" s="30">
        <f>E7</f>
        <v/>
      </c>
      <c r="F19" s="40">
        <f>Financials!$E$5*(1+B19)+Financials!$E$6*(1+D19)</f>
        <v/>
      </c>
      <c r="G19" s="40">
        <f>Financials!$E$5*(1+B19)*(1+C19)+Financials!$E$6*(1+D19)*(1+E19)</f>
        <v/>
      </c>
      <c r="H19" s="40">
        <f>Financials!$E$11+Assumptions!$B$43*(G19-Financials!$E$7)-Assumptions!$B$44-Assumptions!$B$45</f>
        <v/>
      </c>
      <c r="I19" s="28">
        <f>(H19+4*Assumptions!$B$35)*(1-Assumptions!$B$36)/Assumptions!$B$10</f>
        <v/>
      </c>
      <c r="J19" s="45">
        <f>Assumptions!$B$50</f>
        <v/>
      </c>
      <c r="K19" s="28">
        <f>I19*J19</f>
        <v/>
      </c>
      <c r="L19" s="43">
        <f>K19/Assumptions!$B$7-1</f>
        <v/>
      </c>
    </row>
    <row r="21">
      <c r="A21" t="inlineStr">
        <is>
          <t>2028 EPS swing from data centre, US$</t>
        </is>
      </c>
      <c r="I21" s="28">
        <f>I17-I16</f>
        <v/>
      </c>
    </row>
    <row r="22">
      <c r="A22" t="inlineStr">
        <is>
          <t>2028 EPS swing from the rest of TI, US$</t>
        </is>
      </c>
      <c r="I22" s="28">
        <f>I19-I18</f>
        <v/>
      </c>
    </row>
    <row r="23">
      <c r="A23" t="inlineStr">
        <is>
          <t>Ratio, rest to data centre</t>
        </is>
      </c>
      <c r="I23" s="42">
        <f>I22/I21</f>
        <v/>
      </c>
    </row>
    <row r="25">
      <c r="A25" s="12" t="inlineStr">
        <is>
          <t>All cases start from my 2026E (data centre US$2.77bn, rest US$19.27bn) and use the same margin bridge, in both directions.</t>
        </is>
      </c>
    </row>
    <row r="26">
      <c r="A26" s="12" t="inlineStr">
        <is>
          <t>Bear: the analog upturn turns in 2027 and data centre slows. Bull: the upturn runs and data centre keeps compounding.</t>
        </is>
      </c>
    </row>
    <row r="27">
      <c r="A27" s="12" t="inlineStr">
        <is>
          <t>Silicon Labs is excluded from every case.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VALUE PER SHARE: 2028E EPS AGAINST MULTIPLE (US$)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>
        <is>
          <t>2028 EPS \ multiple</t>
        </is>
      </c>
      <c r="B4" s="47" t="n">
        <v>21</v>
      </c>
      <c r="C4" s="47">
        <f>Assumptions!$B$50</f>
        <v/>
      </c>
      <c r="D4" s="47" t="n">
        <v>29</v>
      </c>
    </row>
    <row r="5">
      <c r="A5" s="48" t="n">
        <v>9.5</v>
      </c>
      <c r="B5" s="49">
        <f>$A5*B$4</f>
        <v/>
      </c>
      <c r="C5" s="49">
        <f>$A5*C$4</f>
        <v/>
      </c>
      <c r="D5" s="49">
        <f>$A5*D$4</f>
        <v/>
      </c>
    </row>
    <row r="6">
      <c r="A6" s="50">
        <f>Financials!G15</f>
        <v/>
      </c>
      <c r="B6" s="49">
        <f>$A6*B$4</f>
        <v/>
      </c>
      <c r="C6" s="51">
        <f>$A6*C$4</f>
        <v/>
      </c>
      <c r="D6" s="49">
        <f>$A6*D$4</f>
        <v/>
      </c>
    </row>
    <row r="7">
      <c r="A7" s="48" t="n">
        <v>12.5</v>
      </c>
      <c r="B7" s="49">
        <f>$A7*B$4</f>
        <v/>
      </c>
      <c r="C7" s="49">
        <f>$A7*C$4</f>
        <v/>
      </c>
      <c r="D7" s="49">
        <f>$A7*D$4</f>
        <v/>
      </c>
    </row>
    <row r="9">
      <c r="A9" s="5" t="inlineStr">
        <is>
          <t>Cells above the reference price</t>
        </is>
      </c>
      <c r="B9">
        <f>COUNTIF(B5:D7,"&gt;"&amp;Assumptions!$B$7)</f>
        <v/>
      </c>
      <c r="C9" t="inlineStr">
        <is>
          <t>of 9</t>
        </is>
      </c>
    </row>
    <row r="11">
      <c r="A11" s="12" t="inlineStr">
        <is>
          <t>Middle row links to the model's 2028E EPS and the middle column to the base multiple.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80" customWidth="1" min="4" max="4"/>
  </cols>
  <sheetData>
    <row r="1">
      <c r="A1" s="1" t="inlineStr">
        <is>
          <t>PEER MULTIPLES (FORWARD P/E, stockanalysis.com, 6 OCTOBER 2026)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>
        <is>
          <t>Company</t>
        </is>
      </c>
      <c r="B4" s="4" t="inlineStr">
        <is>
          <t>Ticker</t>
        </is>
      </c>
      <c r="C4" s="4" t="inlineStr">
        <is>
          <t>Forward P/E</t>
        </is>
      </c>
      <c r="D4" s="4" t="inlineStr">
        <is>
          <t>What they make</t>
        </is>
      </c>
    </row>
    <row r="5">
      <c r="A5" s="5" t="inlineStr">
        <is>
          <t>Texas Instruments</t>
        </is>
      </c>
      <c r="B5" t="inlineStr">
        <is>
          <t>Nasdaq: TXN</t>
        </is>
      </c>
      <c r="C5" s="52">
        <f>Assumptions!$B$17</f>
        <v/>
      </c>
      <c r="D5" s="7" t="inlineStr">
        <is>
          <t>Analog and embedded chips, mostly made in its own 300mm fabs</t>
        </is>
      </c>
    </row>
    <row r="6">
      <c r="A6" s="22" t="inlineStr">
        <is>
          <t>Analog Devices</t>
        </is>
      </c>
      <c r="B6" t="inlineStr">
        <is>
          <t>Nasdaq: ADI</t>
        </is>
      </c>
      <c r="C6" s="53" t="n">
        <v>26.33</v>
      </c>
      <c r="D6" s="7" t="inlineStr">
        <is>
          <t>Analog, mixed-signal and power management chips</t>
        </is>
      </c>
    </row>
    <row r="7">
      <c r="A7" s="22" t="inlineStr">
        <is>
          <t>Infineon</t>
        </is>
      </c>
      <c r="B7" t="inlineStr">
        <is>
          <t>XETRA: IFX</t>
        </is>
      </c>
      <c r="C7" s="53" t="n">
        <v>24.46</v>
      </c>
      <c r="D7" s="7" t="inlineStr">
        <is>
          <t>Power semiconductors, including server power stages</t>
        </is>
      </c>
    </row>
    <row r="8">
      <c r="A8" s="22" t="inlineStr">
        <is>
          <t>onsemi</t>
        </is>
      </c>
      <c r="B8" t="inlineStr">
        <is>
          <t>Nasdaq: ON</t>
        </is>
      </c>
      <c r="C8" s="53" t="n">
        <v>22.11</v>
      </c>
      <c r="D8" s="7" t="inlineStr">
        <is>
          <t>Power and sensing chips, silicon carbide</t>
        </is>
      </c>
    </row>
    <row r="9">
      <c r="A9" s="22" t="inlineStr">
        <is>
          <t>Microchip</t>
        </is>
      </c>
      <c r="B9" t="inlineStr">
        <is>
          <t>Nasdaq: MCHP</t>
        </is>
      </c>
      <c r="C9" s="53" t="n">
        <v>20.67</v>
      </c>
      <c r="D9" s="7" t="inlineStr">
        <is>
          <t>Microcontrollers, analog and power chips</t>
        </is>
      </c>
    </row>
    <row r="10">
      <c r="A10" s="22" t="inlineStr">
        <is>
          <t>NXP</t>
        </is>
      </c>
      <c r="B10" t="inlineStr">
        <is>
          <t>Nasdaq: NXPI</t>
        </is>
      </c>
      <c r="C10" s="53" t="n">
        <v>14.47</v>
      </c>
      <c r="D10" s="7" t="inlineStr">
        <is>
          <t>Automotive and industrial processors and analog</t>
        </is>
      </c>
    </row>
    <row r="11">
      <c r="A11" s="22" t="inlineStr">
        <is>
          <t>Monolithic Power</t>
        </is>
      </c>
      <c r="B11" t="inlineStr">
        <is>
          <t>Nasdaq: MPWR</t>
        </is>
      </c>
      <c r="C11" s="53" t="n">
        <v>46.08</v>
      </c>
      <c r="D11" s="7" t="inlineStr">
        <is>
          <t>Power modules and converters, large AI server exposure</t>
        </is>
      </c>
    </row>
    <row r="13">
      <c r="A13" t="inlineStr">
        <is>
          <t>Median of the six peers</t>
        </is>
      </c>
      <c r="C13" s="42">
        <f>MEDIAN(C6:C11)</f>
        <v/>
      </c>
    </row>
    <row r="14">
      <c r="A14" t="inlineStr">
        <is>
          <t>Median excluding Monolithic Power</t>
        </is>
      </c>
      <c r="C14" s="42">
        <f>MEDIAN(C6:C10)</f>
        <v/>
      </c>
    </row>
    <row r="16">
      <c r="A16" s="12" t="inlineStr">
        <is>
          <t>Infineon's figure is from an intraday price on 6 October 2026; the others use closes of 5 October 2026.</t>
        </is>
      </c>
    </row>
    <row r="17">
      <c r="A17" s="12" t="inlineStr">
        <is>
          <t>Multiples only, to set the base multiple. No view on the peers' shares is expressed.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0" customWidth="1" min="2" max="2"/>
  </cols>
  <sheetData>
    <row r="1">
      <c r="A1" s="1" t="inlineStr">
        <is>
          <t>SOURCES</t>
        </is>
      </c>
    </row>
    <row r="2">
      <c r="A2" s="2" t="inlineStr">
        <is>
          <t>Tommy Lau | Texas Instruments (Nasdaq: TXN) | 6 October 2026 | Personal research, not investment advice.</t>
        </is>
      </c>
    </row>
    <row r="4">
      <c r="A4" s="3" t="inlineStr">
        <is>
          <t>No.</t>
        </is>
      </c>
      <c r="B4" s="4" t="inlineStr">
        <is>
          <t>Source and what it supports</t>
        </is>
      </c>
    </row>
    <row r="5">
      <c r="A5" t="n">
        <v>1</v>
      </c>
      <c r="B5" s="7" t="inlineStr">
        <is>
          <t>TI quarterly earnings releases (Exhibit 99 to Form 8-K), 23 April 2024 to 22 July 2026: revenue, gross and operating profit, EPS, depreciation, capital spending, cash flow, CHIPS Act proceeds, balance sheet, segment revenue, Q3 2026 guide.</t>
        </is>
      </c>
    </row>
    <row r="6">
      <c r="A6" t="n">
        <v>2</v>
      </c>
      <c r="B6" s="7" t="inlineStr">
        <is>
          <t>TI Form 10-K for 2025, filed 6 February 2026: revenue by end market, the 40% 300mm cost advantage, 2026 capital spending of US$2 to 3bn, CHIPS Act terms.</t>
        </is>
      </c>
    </row>
    <row r="7">
      <c r="A7" t="n">
        <v>3</v>
      </c>
      <c r="B7" s="7" t="inlineStr">
        <is>
          <t>TI Form 10-Q for the second quarter of 2026, filed 24 July 2026: Silicon Labs terms and the US$5bn delayed draw term loan.</t>
        </is>
      </c>
    </row>
    <row r="8">
      <c r="A8" t="n">
        <v>4</v>
      </c>
      <c r="B8" s="7" t="inlineStr">
        <is>
          <t>SEC XBRL company facts for TI (CIK 97476): annual revenue, gross and operating profit, EPS, cash flow, capital spending, depreciation and dividends, 2019 to 2025.</t>
        </is>
      </c>
    </row>
    <row r="9">
      <c r="A9" t="n">
        <v>5</v>
      </c>
      <c r="B9" s="7" t="inlineStr">
        <is>
          <t>TI earnings calls of 27 January 2026 (data centre US$1.5bn in 2025, end-market growth, 2026 depreciation of US$2.2 to 2.4bn), 22 April 2026 (data centre about 90% y/y, as reported) and 22 July 2026 (data centre doubled y/y and up about 20% q/q, loadings, fall-through of 70 to 85%, free cash flow framework, inventory days).</t>
        </is>
      </c>
    </row>
    <row r="10">
      <c r="A10" t="n">
        <v>6</v>
      </c>
      <c r="B10" s="7" t="inlineStr">
        <is>
          <t>TI 8-K of 4 February 2026: agreement to acquire Silicon Labs for US$231 a share, enterprise value about US$7.5bn. TI 8-K of 17 September 2026: quarterly dividend raised to US$1.52.</t>
        </is>
      </c>
    </row>
    <row r="11">
      <c r="A11" t="n">
        <v>7</v>
      </c>
      <c r="B11" s="7" t="inlineStr">
        <is>
          <t>TI announcement of 1 October 2026: Q3 2026 results call on 21 October 2026, 3:30pm Central time.</t>
        </is>
      </c>
    </row>
    <row r="12">
      <c r="A12" t="n">
        <v>8</v>
      </c>
      <c r="B12" s="7" t="inlineStr">
        <is>
          <t>Yahoo Finance chart API, retrieved 6 October 2026: month-end closes, the 2 and 5 October closes, 52-week range.</t>
        </is>
      </c>
    </row>
    <row r="13">
      <c r="A13" t="n">
        <v>9</v>
      </c>
      <c r="B13" s="7" t="inlineStr">
        <is>
          <t>stockanalysis.com, retrieved 6 October 2026: consensus revenue, EPS and target; forward P/E for TI and peers. MarketBeat for the results date cross-check.</t>
        </is>
      </c>
    </row>
    <row r="14">
      <c r="A14" t="n">
        <v>10</v>
      </c>
      <c r="B14" s="7" t="inlineStr">
        <is>
          <t>The Physical Layer, 'The most expensive chip in an AI rack runs on Texas Instruments' cheapest ones', 2 October 2026: https://thephysicallayer.fyi/journal/ti-feeds-the-chip/</t>
        </is>
      </c>
    </row>
    <row r="15">
      <c r="A15" t="n">
        <v>11</v>
      </c>
      <c r="B15" s="7" t="inlineStr">
        <is>
          <t>Estimates for 2026 to 2028 are the author's own. Personal research, not investment advice. I hold no position in Texas Instruments.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2026-10-06T13:47:17Z</dcterms:created>
  <dcterms:modified xmlns:dcterms="http://purl.org/dc/terms/" xmlns:xsi="http://www.w3.org/2001/XMLSchema-instance" xsi:type="dcterms:W3CDTF">2026-10-06T13:47:17Z</dcterms:modified>
</cp:coreProperties>
</file>