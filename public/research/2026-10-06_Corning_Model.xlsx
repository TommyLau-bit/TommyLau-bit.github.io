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Funding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Peers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0&quot;x&quot;"/>
    <numFmt numFmtId="166" formatCode="0.0%"/>
    <numFmt numFmtId="167" formatCode="&quot;US$&quot;#,##0.00"/>
    <numFmt numFmtId="168" formatCode="#,##0.0"/>
    <numFmt numFmtId="169" formatCode="0.0&quot;x&quot;"/>
    <numFmt numFmtId="170" formatCode="0.00&quot;x&quot;"/>
    <numFmt numFmtId="171" formatCode="&quot;US$&quot;#,##0"/>
  </numFmts>
  <fonts count="12">
    <font>
      <name val="Calibri"/>
      <family val="2"/>
      <color theme="1"/>
      <sz val="11"/>
      <scheme val="minor"/>
    </font>
    <font>
      <b val="1"/>
      <color rgb="001F3864"/>
      <sz val="12"/>
    </font>
    <font>
      <color rgb="00595959"/>
      <sz val="9"/>
    </font>
    <font>
      <i val="1"/>
      <color rgb="00595959"/>
      <sz val="9"/>
    </font>
    <font>
      <b val="1"/>
      <color rgb="00FFFFFF"/>
      <sz val="10"/>
    </font>
    <font>
      <b val="1"/>
      <color rgb="001F3864"/>
    </font>
    <font>
      <color rgb="000000FF"/>
    </font>
    <font>
      <b val="1"/>
      <color rgb="000000FF"/>
    </font>
    <font>
      <b val="1"/>
    </font>
    <font/>
    <font>
      <color rgb="00008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8" fillId="0" borderId="0" pivotButton="0" quotePrefix="0" xfId="0"/>
    <xf numFmtId="0" fontId="1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4" fontId="7" fillId="3" borderId="0" pivotButton="0" quotePrefix="0" xfId="0"/>
    <xf numFmtId="166" fontId="7" fillId="3" borderId="0" pivotButton="0" quotePrefix="0" xfId="0"/>
    <xf numFmtId="165" fontId="7" fillId="3" borderId="0" pivotButton="0" quotePrefix="0" xfId="0"/>
    <xf numFmtId="164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9" fillId="0" borderId="0" pivotButton="0" quotePrefix="0" xfId="0"/>
    <xf numFmtId="166" fontId="0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4" fontId="6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0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9" fontId="0" fillId="0" borderId="0" pivotButton="0" quotePrefix="0" xfId="0"/>
    <xf numFmtId="165" fontId="10" fillId="0" borderId="0" pivotButton="0" quotePrefix="0" xfId="0"/>
    <xf numFmtId="9" fontId="7" fillId="3" borderId="0" pivotButton="0" quotePrefix="0" xfId="0"/>
    <xf numFmtId="167" fontId="8" fillId="4" borderId="0" pivotButton="0" quotePrefix="0" xfId="0"/>
    <xf numFmtId="169" fontId="0" fillId="0" borderId="0" pivotButton="0" quotePrefix="0" xfId="0"/>
    <xf numFmtId="165" fontId="0" fillId="0" borderId="0" pivotButton="0" quotePrefix="0" xfId="0"/>
    <xf numFmtId="0" fontId="8" fillId="4" borderId="0" pivotButton="0" quotePrefix="0" xfId="0"/>
    <xf numFmtId="10" fontId="0" fillId="0" borderId="0" pivotButton="0" quotePrefix="0" xfId="0"/>
    <xf numFmtId="170" fontId="0" fillId="0" borderId="0" pivotButton="0" quotePrefix="0" xfId="0"/>
    <xf numFmtId="165" fontId="11" fillId="2" borderId="0" applyAlignment="1" pivotButton="0" quotePrefix="0" xfId="0">
      <alignment horizontal="right"/>
    </xf>
    <xf numFmtId="167" fontId="6" fillId="0" borderId="0" pivotButton="0" quotePrefix="0" xfId="0"/>
    <xf numFmtId="171" fontId="0" fillId="0" borderId="0" pivotButton="0" quotePrefix="0" xfId="0"/>
    <xf numFmtId="167" fontId="10" fillId="0" borderId="0" pivotButton="0" quotePrefix="0" xfId="0"/>
    <xf numFmtId="171" fontId="0" fillId="4" borderId="0" pivotButton="0" quotePrefix="0" xfId="0"/>
    <xf numFmtId="169" fontId="10" fillId="0" borderId="0" pivotButton="0" quotePrefix="0" xfId="0"/>
    <xf numFmtId="16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80" customWidth="1" min="3" max="3"/>
  </cols>
  <sheetData>
    <row r="1">
      <c r="A1" s="1" t="inlineStr">
        <is>
          <t>CORNING (NYSE: GLW)  INITIATION MODEL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Item</t>
        </is>
      </c>
      <c r="B4" s="4" t="inlineStr">
        <is>
          <t>Value</t>
        </is>
      </c>
      <c r="C4" s="4" t="inlineStr">
        <is>
          <t>Note</t>
        </is>
      </c>
    </row>
    <row r="5">
      <c r="A5" s="5" t="inlineStr">
        <is>
          <t>Call</t>
        </is>
      </c>
      <c r="B5" s="6">
        <f>Valuation!$B$11</f>
        <v/>
      </c>
      <c r="C5" s="7" t="inlineStr">
        <is>
          <t>Tommy Lau's call, published 6 Oct 2026.</t>
        </is>
      </c>
    </row>
    <row r="6">
      <c r="A6" s="5" t="inlineStr">
        <is>
          <t>Conviction</t>
        </is>
      </c>
      <c r="B6" s="8" t="inlineStr">
        <is>
          <t>Medium</t>
        </is>
      </c>
      <c r="C6" s="7" t="inlineStr">
        <is>
          <t>Judgement, not formula.</t>
        </is>
      </c>
    </row>
    <row r="7">
      <c r="A7" s="5" t="inlineStr">
        <is>
          <t>Reference price, US$</t>
        </is>
      </c>
      <c r="B7" s="9">
        <f>Assumptions!$B$7</f>
        <v/>
      </c>
      <c r="C7" s="7" t="inlineStr">
        <is>
          <t>NYSE close, 5 October 2026.</t>
        </is>
      </c>
    </row>
    <row r="8">
      <c r="A8" s="5" t="inlineStr">
        <is>
          <t>Base value, US$</t>
        </is>
      </c>
      <c r="B8" s="9">
        <f>Valuation!$B$7</f>
        <v/>
      </c>
      <c r="C8" s="7" t="inlineStr">
        <is>
          <t>27x 2028E core EPS.</t>
        </is>
      </c>
    </row>
    <row r="9">
      <c r="A9" s="5" t="inlineStr">
        <is>
          <t>Base value against the price</t>
        </is>
      </c>
      <c r="B9" s="10">
        <f>Valuation!$B$9</f>
        <v/>
      </c>
      <c r="C9" s="7" t="inlineStr"/>
    </row>
    <row r="10">
      <c r="A10" s="5" t="inlineStr">
        <is>
          <t>Probability-weighted value, US$</t>
        </is>
      </c>
      <c r="B10" s="9">
        <f>Valuation!$B$10</f>
        <v/>
      </c>
      <c r="C10" s="7" t="inlineStr">
        <is>
          <t>25 / 50 / 25 bear / base / bull.</t>
        </is>
      </c>
    </row>
    <row r="11">
      <c r="A11" s="5" t="inlineStr">
        <is>
          <t>2026E / 2027E / 2028E core EPS, US$</t>
        </is>
      </c>
      <c r="B11" s="6">
        <f>TEXT(Financials!E17,"0.00")&amp;" / "&amp;TEXT(Financials!F17,"0.00")&amp;" / "&amp;TEXT(Financials!G17,"0.00")</f>
        <v/>
      </c>
      <c r="C11" s="7" t="inlineStr">
        <is>
          <t>Own estimates.</t>
        </is>
      </c>
    </row>
    <row r="12">
      <c r="A12" s="5" t="inlineStr">
        <is>
          <t>Horizon</t>
        </is>
      </c>
      <c r="B12" s="8" t="inlineStr">
        <is>
          <t>12 months, to October 2027</t>
        </is>
      </c>
      <c r="C12" s="7" t="inlineStr"/>
    </row>
    <row r="13">
      <c r="A13" s="5" t="inlineStr">
        <is>
          <t>Wrong if</t>
        </is>
      </c>
      <c r="B13" s="8" t="inlineStr">
        <is>
          <t>See note</t>
        </is>
      </c>
      <c r="C13" s="7" t="inlineStr">
        <is>
          <t>Optical Communications sales of US$11.5bn or more in 2027 with a segment net margin of 24% or more; or the shares close above US$200 or below US$110 by October 2027.</t>
        </is>
      </c>
    </row>
    <row r="14">
      <c r="A14" s="5" t="inlineStr">
        <is>
          <t>Revisit if</t>
        </is>
      </c>
      <c r="B14" s="8" t="inlineStr">
        <is>
          <t>See note</t>
        </is>
      </c>
      <c r="C14" s="7" t="inlineStr">
        <is>
          <t>A price below about US$127; or Q4 2026 optical sales of US$2.4bn or more with a segment net margin of 23% or more, and the share sale programme largely unused.</t>
        </is>
      </c>
    </row>
    <row r="17">
      <c r="A17" s="11" t="inlineStr">
        <is>
          <t>Tabs</t>
        </is>
      </c>
    </row>
    <row r="18">
      <c r="A18" t="inlineStr">
        <is>
          <t>Assumptions</t>
        </is>
      </c>
      <c r="B18" t="inlineStr">
        <is>
          <t>Every input, with its source. Change the yellow cells to move the value.</t>
        </is>
      </c>
    </row>
    <row r="19">
      <c r="A19" t="inlineStr">
        <is>
          <t>Quarterly</t>
        </is>
      </c>
      <c r="B19" t="inlineStr">
        <is>
          <t>Q1 2024 to Q2 2026 reported, my Q3 and Q4 2026; optical, the rest, margins, core EPS.</t>
        </is>
      </c>
    </row>
    <row r="20">
      <c r="A20" t="inlineStr">
        <is>
          <t>Financials</t>
        </is>
      </c>
      <c r="B20" t="inlineStr">
        <is>
          <t>2023A to 2028E: optical and the rest, segment margins, core net income, EPS, P/E, cash.</t>
        </is>
      </c>
    </row>
    <row r="21">
      <c r="A21" t="inlineStr">
        <is>
          <t>Scenarios</t>
        </is>
      </c>
      <c r="B21" t="inlineStr">
        <is>
          <t>Bear / base / bull, the probability-weighted value, and which part of Corning moves earnings most.</t>
        </is>
      </c>
    </row>
    <row r="22">
      <c r="A22" t="inlineStr">
        <is>
          <t>Valuation</t>
        </is>
      </c>
      <c r="B22" t="inlineStr">
        <is>
          <t>Base value, market value, multiples, what the price needs.</t>
        </is>
      </c>
    </row>
    <row r="23">
      <c r="A23" t="inlineStr">
        <is>
          <t>Funding</t>
        </is>
      </c>
      <c r="B23" t="inlineStr">
        <is>
          <t>The share sale question: capital spending, deposits, free cash flow, dilution.</t>
        </is>
      </c>
    </row>
    <row r="24">
      <c r="A24" t="inlineStr">
        <is>
          <t>Sensitivity</t>
        </is>
      </c>
      <c r="B24" t="inlineStr">
        <is>
          <t>2028E core EPS against multiple.</t>
        </is>
      </c>
    </row>
    <row r="25">
      <c r="A25" t="inlineStr">
        <is>
          <t>Peers</t>
        </is>
      </c>
      <c r="B25" t="inlineStr">
        <is>
          <t>Forward multiples used to set the base multiple.</t>
        </is>
      </c>
    </row>
    <row r="26">
      <c r="A26" t="inlineStr">
        <is>
          <t>Sources</t>
        </is>
      </c>
      <c r="B26" t="inlineStr">
        <is>
          <t>Every source used.</t>
        </is>
      </c>
    </row>
    <row r="28">
      <c r="A28" s="12" t="inlineStr">
        <is>
          <t>Colour key: blue = hardcoded input; yellow fill = my own assumption; green = link to another tab; black = formula.</t>
        </is>
      </c>
    </row>
    <row r="29">
      <c r="A29" s="12" t="inlineStr">
        <is>
          <t>Companion note: 2026-10-06_Corning_Initiation.pdf. Personal research,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0" customWidth="1" min="3" max="3"/>
    <col width="92" customWidth="1" min="4" max="4"/>
  </cols>
  <sheetData>
    <row r="1">
      <c r="A1" s="1" t="inlineStr">
        <is>
          <t>ASSUMPTIONS AND INPUTS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3">
      <c r="A3" s="12" t="inlineStr">
        <is>
          <t>Blue = hardcoded input. Yellow fill = my own assumption (change these to move the value). Green = link to another tab. Black = formula. US$ billion unless stated; per-share figures in US$. Core (non-GAAP) basis.</t>
        </is>
      </c>
    </row>
    <row r="5">
      <c r="A5" s="3" t="inlineStr">
        <is>
          <t>Input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</t>
        </is>
      </c>
    </row>
    <row r="6">
      <c r="A6" s="11" t="inlineStr">
        <is>
          <t>MARKET (retrieved 6 October 2026)</t>
        </is>
      </c>
    </row>
    <row r="7">
      <c r="A7" t="inlineStr">
        <is>
          <t>Share price (NYSE: GLW)</t>
        </is>
      </c>
      <c r="B7" s="13" t="n">
        <v>159.37</v>
      </c>
      <c r="C7" t="inlineStr">
        <is>
          <t>US$</t>
        </is>
      </c>
      <c r="D7" s="7" t="inlineStr">
        <is>
          <t>NYSE close, 5 October 2026. Yahoo Finance.</t>
        </is>
      </c>
    </row>
    <row r="8">
      <c r="A8" t="inlineStr">
        <is>
          <t>52-week high (intraday, 29 June 2026)</t>
        </is>
      </c>
      <c r="B8" s="13" t="n">
        <v>271.78</v>
      </c>
      <c r="C8" t="inlineStr">
        <is>
          <t>US$</t>
        </is>
      </c>
      <c r="D8" s="7" t="inlineStr">
        <is>
          <t>Yahoo Finance.</t>
        </is>
      </c>
    </row>
    <row r="9">
      <c r="A9" t="inlineStr">
        <is>
          <t>Month-end close, 30 Sep 2025</t>
        </is>
      </c>
      <c r="B9" s="13" t="n">
        <v>82.03</v>
      </c>
      <c r="C9" t="inlineStr">
        <is>
          <t>US$</t>
        </is>
      </c>
      <c r="D9" s="7" t="inlineStr">
        <is>
          <t>Yahoo Finance.</t>
        </is>
      </c>
    </row>
    <row r="10">
      <c r="A10" t="inlineStr">
        <is>
          <t>Month-end close, 31 Dec 2024</t>
        </is>
      </c>
      <c r="B10" s="13" t="n">
        <v>47.52</v>
      </c>
      <c r="C10" t="inlineStr">
        <is>
          <t>US$</t>
        </is>
      </c>
      <c r="D10" s="7" t="inlineStr">
        <is>
          <t>Yahoo Finance.</t>
        </is>
      </c>
    </row>
    <row r="11">
      <c r="A11" t="inlineStr">
        <is>
          <t>Close on 11 Sep 2026</t>
        </is>
      </c>
      <c r="B11" s="13" t="n">
        <v>166.4</v>
      </c>
      <c r="C11" t="inlineStr">
        <is>
          <t>US$</t>
        </is>
      </c>
      <c r="D11" s="7" t="inlineStr">
        <is>
          <t>Day the at-the-market programme was filed. stockanalysis.com daily history.</t>
        </is>
      </c>
    </row>
    <row r="12">
      <c r="A12" t="inlineStr">
        <is>
          <t>Close on 14 Sep 2026</t>
        </is>
      </c>
      <c r="B12" s="13" t="n">
        <v>143.6</v>
      </c>
      <c r="C12" t="inlineStr">
        <is>
          <t>US$</t>
        </is>
      </c>
      <c r="D12" s="7" t="inlineStr">
        <is>
          <t>Next trading day.</t>
        </is>
      </c>
    </row>
    <row r="13">
      <c r="A13" t="inlineStr">
        <is>
          <t>Shares outstanding, 24 Jul 2026</t>
        </is>
      </c>
      <c r="B13" s="13" t="n">
        <v>0.861388</v>
      </c>
      <c r="C13" t="inlineStr">
        <is>
          <t>bn</t>
        </is>
      </c>
      <c r="D13" s="7" t="inlineStr">
        <is>
          <t>Prospectus supplement of 11 Sep 2026: 861,388,331.</t>
        </is>
      </c>
    </row>
    <row r="14">
      <c r="A14" t="inlineStr">
        <is>
          <t>Diluted shares, Q2 2026</t>
        </is>
      </c>
      <c r="B14" s="13" t="n">
        <v>0.875</v>
      </c>
      <c r="C14" t="inlineStr">
        <is>
          <t>bn</t>
        </is>
      </c>
      <c r="D14" s="7" t="inlineStr">
        <is>
          <t>Q2 2026 release: 875 million, includes the 3m pre-funded NVIDIA warrant.</t>
        </is>
      </c>
    </row>
    <row r="15">
      <c r="A15" t="inlineStr">
        <is>
          <t>Cash, 30 Jun 2026</t>
        </is>
      </c>
      <c r="B15" s="13" t="n">
        <v>2.504</v>
      </c>
      <c r="C15" t="inlineStr">
        <is>
          <t>US$bn</t>
        </is>
      </c>
      <c r="D15" s="7" t="inlineStr">
        <is>
          <t>Q2 2026 release.</t>
        </is>
      </c>
    </row>
    <row r="16">
      <c r="A16" t="inlineStr">
        <is>
          <t>Total debt, 30 Jun 2026</t>
        </is>
      </c>
      <c r="B16" s="13" t="n">
        <v>8.423999999999999</v>
      </c>
      <c r="C16" t="inlineStr">
        <is>
          <t>US$bn</t>
        </is>
      </c>
      <c r="D16" s="7" t="inlineStr">
        <is>
          <t>Q2 2026 release: long-term 7.756 + current 0.668.</t>
        </is>
      </c>
    </row>
    <row r="17">
      <c r="A17" t="inlineStr">
        <is>
          <t>Debt due within a year, 30 Jun 2026</t>
        </is>
      </c>
      <c r="B17" s="13" t="n">
        <v>0.668</v>
      </c>
      <c r="C17" t="inlineStr">
        <is>
          <t>US$bn</t>
        </is>
      </c>
      <c r="D17" s="7" t="inlineStr">
        <is>
          <t>Q2 2026 release and 10-Q.</t>
        </is>
      </c>
    </row>
    <row r="18">
      <c r="A18" t="inlineStr">
        <is>
          <t>Quarterly dividend</t>
        </is>
      </c>
      <c r="B18" s="13" t="n">
        <v>0.28</v>
      </c>
      <c r="C18" t="inlineStr">
        <is>
          <t>US$</t>
        </is>
      </c>
      <c r="D18" s="7" t="inlineStr">
        <is>
          <t>10-Q: US$0.28 a quarter.</t>
        </is>
      </c>
    </row>
    <row r="19">
      <c r="A19" t="inlineStr">
        <is>
          <t>2026 consensus core EPS</t>
        </is>
      </c>
      <c r="B19" s="13" t="n">
        <v>3.28</v>
      </c>
      <c r="C19" t="inlineStr">
        <is>
          <t>US$</t>
        </is>
      </c>
      <c r="D19" s="7" t="inlineStr">
        <is>
          <t>Nasdaq.com (Zacks), 8 estimates, retrieved 6 October 2026.</t>
        </is>
      </c>
    </row>
    <row r="20">
      <c r="A20" t="inlineStr">
        <is>
          <t>2027 consensus core EPS</t>
        </is>
      </c>
      <c r="B20" s="13" t="n">
        <v>4.29</v>
      </c>
      <c r="C20" t="inlineStr">
        <is>
          <t>US$</t>
        </is>
      </c>
      <c r="D20" s="7" t="inlineStr">
        <is>
          <t>Nasdaq.com (Zacks), 8 estimates.</t>
        </is>
      </c>
    </row>
    <row r="21">
      <c r="A21" t="inlineStr">
        <is>
          <t>2028 consensus core EPS</t>
        </is>
      </c>
      <c r="B21" s="13" t="n">
        <v>5.64</v>
      </c>
      <c r="C21" t="inlineStr">
        <is>
          <t>US$</t>
        </is>
      </c>
      <c r="D21" s="7" t="inlineStr">
        <is>
          <t>Nasdaq.com (Zacks), 4 estimates.</t>
        </is>
      </c>
    </row>
    <row r="22">
      <c r="A22" t="inlineStr">
        <is>
          <t>Forward P/E shown by stockanalysis.com</t>
        </is>
      </c>
      <c r="B22" s="14" t="n">
        <v>43.03</v>
      </c>
      <c r="C22" t="inlineStr">
        <is>
          <t>x</t>
        </is>
      </c>
      <c r="D22" s="7" t="inlineStr">
        <is>
          <t>stockanalysis.com, 6 October 2026.</t>
        </is>
      </c>
    </row>
    <row r="23">
      <c r="A23" t="inlineStr">
        <is>
          <t>Trailing P/E (GAAP) shown by stockanalysis.com</t>
        </is>
      </c>
      <c r="B23" s="14" t="n">
        <v>73.52</v>
      </c>
      <c r="C23" t="inlineStr">
        <is>
          <t>x</t>
        </is>
      </c>
      <c r="D23" s="7" t="inlineStr">
        <is>
          <t>stockanalysis.com, 6 October 2026.</t>
        </is>
      </c>
    </row>
    <row r="24">
      <c r="A24" t="inlineStr">
        <is>
          <t>Average analyst target</t>
        </is>
      </c>
      <c r="B24" s="13" t="n">
        <v>189.94</v>
      </c>
      <c r="C24" t="inlineStr">
        <is>
          <t>US$</t>
        </is>
      </c>
      <c r="D24" s="7" t="inlineStr">
        <is>
          <t>stockanalysis.com, 17 analysts, 6 October 2026.</t>
        </is>
      </c>
    </row>
    <row r="25">
      <c r="A25" s="11" t="inlineStr">
        <is>
          <t>REPORTED (Corning releases, Form 10-K, Form 10-Q, 8-Ks)</t>
        </is>
      </c>
    </row>
    <row r="26">
      <c r="A26" t="inlineStr">
        <is>
          <t>Core sales, H1 2026</t>
        </is>
      </c>
      <c r="B26" s="13" t="n">
        <v>9.083</v>
      </c>
      <c r="C26" t="inlineStr">
        <is>
          <t>US$bn</t>
        </is>
      </c>
      <c r="D26" s="7" t="inlineStr">
        <is>
          <t>Q2 2026 release: 4.345 + 4.738.</t>
        </is>
      </c>
    </row>
    <row r="27">
      <c r="A27" t="inlineStr">
        <is>
          <t>Optical Communications sales, H1 2026</t>
        </is>
      </c>
      <c r="B27" s="13" t="n">
        <v>3.918</v>
      </c>
      <c r="C27" t="inlineStr">
        <is>
          <t>US$bn</t>
        </is>
      </c>
      <c r="D27" s="7" t="inlineStr">
        <is>
          <t>10-Q segment note.</t>
        </is>
      </c>
    </row>
    <row r="28">
      <c r="A28" t="inlineStr">
        <is>
          <t>Optical Communications net income, H1 2026</t>
        </is>
      </c>
      <c r="B28" s="13" t="n">
        <v>0.825</v>
      </c>
      <c r="C28" t="inlineStr">
        <is>
          <t>US$bn</t>
        </is>
      </c>
      <c r="D28" s="7" t="inlineStr">
        <is>
          <t>10-Q segment note.</t>
        </is>
      </c>
    </row>
    <row r="29">
      <c r="A29" t="inlineStr">
        <is>
          <t>Segment net income incl. Life Sciences and Emerging, H1 2026</t>
        </is>
      </c>
      <c r="B29" s="13" t="n">
        <v>1.61</v>
      </c>
      <c r="C29" t="inlineStr">
        <is>
          <t>US$bn</t>
        </is>
      </c>
      <c r="D29" s="7" t="inlineStr">
        <is>
          <t>10-Q segment note.</t>
        </is>
      </c>
    </row>
    <row r="30">
      <c r="A30" t="inlineStr">
        <is>
          <t>Core net income, H1 2026</t>
        </is>
      </c>
      <c r="B30" s="13" t="n">
        <v>1.292</v>
      </c>
      <c r="C30" t="inlineStr">
        <is>
          <t>US$bn</t>
        </is>
      </c>
      <c r="D30" s="7" t="inlineStr">
        <is>
          <t>Q2 2026 release.</t>
        </is>
      </c>
    </row>
    <row r="31">
      <c r="A31" t="inlineStr">
        <is>
          <t>Core EPS, H1 2026</t>
        </is>
      </c>
      <c r="B31" s="13" t="n">
        <v>1.47</v>
      </c>
      <c r="C31" t="inlineStr">
        <is>
          <t>US$</t>
        </is>
      </c>
      <c r="D31" s="7" t="inlineStr">
        <is>
          <t>Q2 2026 release.</t>
        </is>
      </c>
    </row>
    <row r="32">
      <c r="A32" t="inlineStr">
        <is>
          <t>Q3 2026 core sales guide, low</t>
        </is>
      </c>
      <c r="B32" s="13" t="n">
        <v>4.9</v>
      </c>
      <c r="C32" t="inlineStr">
        <is>
          <t>US$bn</t>
        </is>
      </c>
      <c r="D32" s="7" t="inlineStr">
        <is>
          <t>Release of 28 July 2026.</t>
        </is>
      </c>
    </row>
    <row r="33">
      <c r="A33" t="inlineStr">
        <is>
          <t>Q3 2026 core sales guide, high</t>
        </is>
      </c>
      <c r="B33" s="13" t="n">
        <v>5</v>
      </c>
      <c r="C33" t="inlineStr">
        <is>
          <t>US$bn</t>
        </is>
      </c>
      <c r="D33" s="7" t="inlineStr">
        <is>
          <t>Same.</t>
        </is>
      </c>
    </row>
    <row r="34">
      <c r="A34" t="inlineStr">
        <is>
          <t>Q3 2026 core EPS guide, low</t>
        </is>
      </c>
      <c r="B34" s="13" t="n">
        <v>0.85</v>
      </c>
      <c r="C34" t="inlineStr">
        <is>
          <t>US$</t>
        </is>
      </c>
      <c r="D34" s="7" t="inlineStr">
        <is>
          <t>Same.</t>
        </is>
      </c>
    </row>
    <row r="35">
      <c r="A35" t="inlineStr">
        <is>
          <t>Q3 2026 core EPS guide, high</t>
        </is>
      </c>
      <c r="B35" s="13" t="n">
        <v>0.89</v>
      </c>
      <c r="C35" t="inlineStr">
        <is>
          <t>US$</t>
        </is>
      </c>
      <c r="D35" s="7" t="inlineStr">
        <is>
          <t>Same.</t>
        </is>
      </c>
    </row>
    <row r="36">
      <c r="A36" t="inlineStr">
        <is>
          <t>Enterprise Networks sales, Q2 2026</t>
        </is>
      </c>
      <c r="B36" s="13" t="n">
        <v>1.27</v>
      </c>
      <c r="C36" t="inlineStr">
        <is>
          <t>US$bn</t>
        </is>
      </c>
      <c r="D36" s="7" t="inlineStr">
        <is>
          <t>Q2 2026 call: US$1.27bn, up 65%.</t>
        </is>
      </c>
    </row>
    <row r="37">
      <c r="A37" t="inlineStr">
        <is>
          <t>Enterprise Networks growth, Q2 2026</t>
        </is>
      </c>
      <c r="B37" s="15" t="n">
        <v>0.65</v>
      </c>
      <c r="C37" t="inlineStr">
        <is>
          <t>%</t>
        </is>
      </c>
      <c r="D37" s="7" t="inlineStr">
        <is>
          <t>Q2 2026 release and call.</t>
        </is>
      </c>
    </row>
    <row r="38">
      <c r="A38" t="inlineStr">
        <is>
          <t>At-the-market programme, maximum</t>
        </is>
      </c>
      <c r="B38" s="13" t="n">
        <v>2</v>
      </c>
      <c r="C38" t="inlineStr">
        <is>
          <t>US$bn</t>
        </is>
      </c>
      <c r="D38" s="7" t="inlineStr">
        <is>
          <t>8-K and prospectus supplement, 11 Sep 2026. Goldman Sachs; 1% commission.</t>
        </is>
      </c>
    </row>
    <row r="39">
      <c r="A39" t="inlineStr">
        <is>
          <t>2026 capital spending outlook</t>
        </is>
      </c>
      <c r="B39" s="13" t="n">
        <v>2</v>
      </c>
      <c r="C39" t="inlineStr">
        <is>
          <t>US$bn</t>
        </is>
      </c>
      <c r="D39" s="7" t="inlineStr">
        <is>
          <t>10-Q for Q2 2026: approximately US$2.0bn.</t>
        </is>
      </c>
    </row>
    <row r="40">
      <c r="A40" t="inlineStr">
        <is>
          <t>Capital spending, H1 2026</t>
        </is>
      </c>
      <c r="B40" s="13" t="n">
        <v>0.754</v>
      </c>
      <c r="C40" t="inlineStr">
        <is>
          <t>US$bn</t>
        </is>
      </c>
      <c r="D40" s="7" t="inlineStr">
        <is>
          <t>Q2 2026 release.</t>
        </is>
      </c>
    </row>
    <row r="41">
      <c r="A41" t="inlineStr">
        <is>
          <t>Adjusted free cash flow, H1 2026</t>
        </is>
      </c>
      <c r="B41" s="13" t="n">
        <v>1.611</v>
      </c>
      <c r="C41" t="inlineStr">
        <is>
          <t>US$bn</t>
        </is>
      </c>
      <c r="D41" s="7" t="inlineStr">
        <is>
          <t>Q2 2026 release (Corning definition).</t>
        </is>
      </c>
    </row>
    <row r="42">
      <c r="A42" t="inlineStr">
        <is>
          <t>Customer deposits and government incentives, H1 2026</t>
        </is>
      </c>
      <c r="B42" s="13" t="n">
        <v>0.709</v>
      </c>
      <c r="C42" t="inlineStr">
        <is>
          <t>US$bn</t>
        </is>
      </c>
      <c r="D42" s="7" t="inlineStr">
        <is>
          <t>Cash flow statement line; includes the US$1.0bn deposit received in Q2.</t>
        </is>
      </c>
    </row>
    <row r="43">
      <c r="A43" t="inlineStr">
        <is>
          <t>Dividends paid, H1 2026</t>
        </is>
      </c>
      <c r="B43" s="13" t="n">
        <v>0.495</v>
      </c>
      <c r="C43" t="inlineStr">
        <is>
          <t>US$bn</t>
        </is>
      </c>
      <c r="D43" s="7" t="inlineStr">
        <is>
          <t>Q2 2026 release.</t>
        </is>
      </c>
    </row>
    <row r="44">
      <c r="A44" t="inlineStr">
        <is>
          <t>Customer deposit booked in Q2 2026</t>
        </is>
      </c>
      <c r="B44" s="13" t="n">
        <v>1</v>
      </c>
      <c r="C44" t="inlineStr">
        <is>
          <t>US$bn</t>
        </is>
      </c>
      <c r="D44" s="7" t="inlineStr">
        <is>
          <t>10-Q Note 2: long-term supply agreement to 31 Dec 2029.</t>
        </is>
      </c>
    </row>
    <row r="45">
      <c r="A45" t="inlineStr">
        <is>
          <t>Traditional warrant to a customer, grant-date fair value</t>
        </is>
      </c>
      <c r="B45" s="13" t="n">
        <v>0.296</v>
      </c>
      <c r="C45" t="inlineStr">
        <is>
          <t>US$bn</t>
        </is>
      </c>
      <c r="D45" s="7" t="inlineStr">
        <is>
          <t>10-Q Note 12: 15m shares at US$180, consideration payable to a customer.</t>
        </is>
      </c>
    </row>
    <row r="46">
      <c r="A46" t="inlineStr">
        <is>
          <t>Cash for the pre-funded warrant</t>
        </is>
      </c>
      <c r="B46" s="13" t="n">
        <v>0.5</v>
      </c>
      <c r="C46" t="inlineStr">
        <is>
          <t>US$bn</t>
        </is>
      </c>
      <c r="D46" s="7" t="inlineStr">
        <is>
          <t>8-K of 6 May 2026: NVIDIA, 3m shares.</t>
        </is>
      </c>
    </row>
    <row r="47">
      <c r="A47" s="11" t="inlineStr">
        <is>
          <t>MY ASSUMPTIONS</t>
        </is>
      </c>
    </row>
    <row r="48">
      <c r="A48" t="inlineStr">
        <is>
          <t>Optical sales, Q3 2026</t>
        </is>
      </c>
      <c r="B48" s="16" t="n">
        <v>2.22</v>
      </c>
      <c r="C48" t="inlineStr">
        <is>
          <t>US$bn</t>
        </is>
      </c>
      <c r="D48" s="7" t="inlineStr">
        <is>
          <t>MINE. About 7% on Q2.</t>
        </is>
      </c>
    </row>
    <row r="49">
      <c r="A49" t="inlineStr">
        <is>
          <t>Optical sales, Q4 2026</t>
        </is>
      </c>
      <c r="B49" s="16" t="n">
        <v>2.36</v>
      </c>
      <c r="C49" t="inlineStr">
        <is>
          <t>US$bn</t>
        </is>
      </c>
      <c r="D49" s="7" t="inlineStr">
        <is>
          <t>MINE.</t>
        </is>
      </c>
    </row>
    <row r="50">
      <c r="A50" t="inlineStr">
        <is>
          <t>Rest of Corning sales, Q3 2026</t>
        </is>
      </c>
      <c r="B50" s="16" t="n">
        <v>2.73</v>
      </c>
      <c r="C50" t="inlineStr">
        <is>
          <t>US$bn</t>
        </is>
      </c>
      <c r="D50" s="7" t="inlineStr">
        <is>
          <t>MINE. Q3 total 4.95 = guide midpoint.</t>
        </is>
      </c>
    </row>
    <row r="51">
      <c r="A51" t="inlineStr">
        <is>
          <t>Rest of Corning sales, Q4 2026</t>
        </is>
      </c>
      <c r="B51" s="16" t="n">
        <v>2.72</v>
      </c>
      <c r="C51" t="inlineStr">
        <is>
          <t>US$bn</t>
        </is>
      </c>
      <c r="D51" s="7" t="inlineStr">
        <is>
          <t>MINE. Q4 total about US$5.1bn, the US$20bn run-rate.</t>
        </is>
      </c>
    </row>
    <row r="52">
      <c r="A52" t="inlineStr">
        <is>
          <t>Optical segment net margin, Q3 2026</t>
        </is>
      </c>
      <c r="B52" s="17" t="n">
        <v>0.215</v>
      </c>
      <c r="C52" t="inlineStr">
        <is>
          <t>%</t>
        </is>
      </c>
      <c r="D52" s="7" t="inlineStr">
        <is>
          <t>MINE. Q2 2026: 21.1%.</t>
        </is>
      </c>
    </row>
    <row r="53">
      <c r="A53" t="inlineStr">
        <is>
          <t>Optical segment net margin, Q4 2026</t>
        </is>
      </c>
      <c r="B53" s="17" t="n">
        <v>0.22</v>
      </c>
      <c r="C53" t="inlineStr">
        <is>
          <t>%</t>
        </is>
      </c>
      <c r="D53" s="7" t="inlineStr">
        <is>
          <t>MINE.</t>
        </is>
      </c>
    </row>
    <row r="54">
      <c r="A54" t="inlineStr">
        <is>
          <t>Rest of Corning segment net margin, H2 2026</t>
        </is>
      </c>
      <c r="B54" s="17" t="n">
        <v>0.162</v>
      </c>
      <c r="C54" t="inlineStr">
        <is>
          <t>%</t>
        </is>
      </c>
      <c r="D54" s="7" t="inlineStr">
        <is>
          <t>MINE. H1 2026: 15.2%; Solar profitability expected to improve from Q3.</t>
        </is>
      </c>
    </row>
    <row r="55">
      <c r="A55" t="inlineStr">
        <is>
          <t>Core net income less segment net income, per quarter</t>
        </is>
      </c>
      <c r="B55" s="16" t="n">
        <v>-0.16</v>
      </c>
      <c r="C55" t="inlineStr">
        <is>
          <t>US$bn</t>
        </is>
      </c>
      <c r="D55" s="7" t="inlineStr">
        <is>
          <t>MINE. Q2 2026: -0.166; H1: -0.318.</t>
        </is>
      </c>
    </row>
    <row r="56">
      <c r="A56" t="inlineStr">
        <is>
          <t>Corporate line, 2027</t>
        </is>
      </c>
      <c r="B56" s="16" t="n">
        <v>-0.7</v>
      </c>
      <c r="C56" t="inlineStr">
        <is>
          <t>US$bn</t>
        </is>
      </c>
      <c r="D56" s="7" t="inlineStr">
        <is>
          <t>MINE.</t>
        </is>
      </c>
    </row>
    <row r="57">
      <c r="A57" t="inlineStr">
        <is>
          <t>Corporate line, 2028</t>
        </is>
      </c>
      <c r="B57" s="16" t="n">
        <v>-0.76</v>
      </c>
      <c r="C57" t="inlineStr">
        <is>
          <t>US$bn</t>
        </is>
      </c>
      <c r="D57" s="7" t="inlineStr">
        <is>
          <t>MINE.</t>
        </is>
      </c>
    </row>
    <row r="58">
      <c r="A58" t="inlineStr">
        <is>
          <t>Share of the programme sold, 2027 average</t>
        </is>
      </c>
      <c r="B58" s="17" t="n">
        <v>0.5</v>
      </c>
      <c r="C58" t="inlineStr">
        <is>
          <t>%</t>
        </is>
      </c>
      <c r="D58" s="7" t="inlineStr">
        <is>
          <t>MINE. Sold at today's price.</t>
        </is>
      </c>
    </row>
    <row r="59">
      <c r="A59" t="inlineStr">
        <is>
          <t>Share of the programme sold, 2028 average</t>
        </is>
      </c>
      <c r="B59" s="17" t="n">
        <v>1</v>
      </c>
      <c r="C59" t="inlineStr">
        <is>
          <t>%</t>
        </is>
      </c>
      <c r="D59" s="7" t="inlineStr">
        <is>
          <t>MINE.</t>
        </is>
      </c>
    </row>
    <row r="60">
      <c r="A60" t="inlineStr">
        <is>
          <t>Target multiple on 2028E core EPS (base)</t>
        </is>
      </c>
      <c r="B60" s="18" t="n">
        <v>27</v>
      </c>
      <c r="C60" t="inlineStr">
        <is>
          <t>x</t>
        </is>
      </c>
      <c r="D60" s="7" t="inlineStr">
        <is>
          <t>MINE. Between the fibre makers' median (Peers tab) and Amphenol.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QUARTERLY HISTORY, Q1 2024 TO Q2 2026, AND MY Q3 / Q4 2026 (CORE BASIS)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US$ billion unless stated</t>
        </is>
      </c>
      <c r="B4" s="4" t="inlineStr">
        <is>
          <t>Q1 24</t>
        </is>
      </c>
      <c r="C4" s="4" t="inlineStr">
        <is>
          <t>Q2 24</t>
        </is>
      </c>
      <c r="D4" s="4" t="inlineStr">
        <is>
          <t>Q3 24</t>
        </is>
      </c>
      <c r="E4" s="4" t="inlineStr">
        <is>
          <t>Q4 24</t>
        </is>
      </c>
      <c r="F4" s="4" t="inlineStr">
        <is>
          <t>Q1 25</t>
        </is>
      </c>
      <c r="G4" s="4" t="inlineStr">
        <is>
          <t>Q2 25</t>
        </is>
      </c>
      <c r="H4" s="4" t="inlineStr">
        <is>
          <t>Q3 25</t>
        </is>
      </c>
      <c r="I4" s="4" t="inlineStr">
        <is>
          <t>Q4 25</t>
        </is>
      </c>
      <c r="J4" s="4" t="inlineStr">
        <is>
          <t>Q1 26</t>
        </is>
      </c>
      <c r="K4" s="4" t="inlineStr">
        <is>
          <t>Q2 26</t>
        </is>
      </c>
      <c r="L4" s="4" t="inlineStr">
        <is>
          <t>Q3 26E</t>
        </is>
      </c>
      <c r="M4" s="4" t="inlineStr">
        <is>
          <t>Q4 26E</t>
        </is>
      </c>
    </row>
    <row r="5">
      <c r="A5" s="5" t="inlineStr">
        <is>
          <t>Optical Communications sales</t>
        </is>
      </c>
      <c r="B5" s="19" t="n">
        <v>0.93</v>
      </c>
      <c r="C5" s="19" t="n">
        <v>1.113</v>
      </c>
      <c r="D5" s="19" t="n">
        <v>1.246</v>
      </c>
      <c r="E5" s="19" t="n">
        <v>1.368</v>
      </c>
      <c r="F5" s="19" t="n">
        <v>1.355</v>
      </c>
      <c r="G5" s="19" t="n">
        <v>1.566</v>
      </c>
      <c r="H5" s="19" t="n">
        <v>1.652</v>
      </c>
      <c r="I5" s="19" t="n">
        <v>1.701</v>
      </c>
      <c r="J5" s="19" t="n">
        <v>1.846</v>
      </c>
      <c r="K5" s="19" t="n">
        <v>2.072</v>
      </c>
      <c r="L5" s="20">
        <f>Assumptions!$B$48</f>
        <v/>
      </c>
      <c r="M5" s="20">
        <f>Assumptions!$B$49</f>
        <v/>
      </c>
    </row>
    <row r="6">
      <c r="A6" s="21" t="inlineStr">
        <is>
          <t>Rest of Corning sales (derived)</t>
        </is>
      </c>
      <c r="B6" s="20">
        <f>B7-B5</f>
        <v/>
      </c>
      <c r="C6" s="20">
        <f>C7-C5</f>
        <v/>
      </c>
      <c r="D6" s="20">
        <f>D7-D5</f>
        <v/>
      </c>
      <c r="E6" s="20">
        <f>E7-E5</f>
        <v/>
      </c>
      <c r="F6" s="20">
        <f>F7-F5</f>
        <v/>
      </c>
      <c r="G6" s="20">
        <f>G7-G5</f>
        <v/>
      </c>
      <c r="H6" s="20">
        <f>H7-H5</f>
        <v/>
      </c>
      <c r="I6" s="20">
        <f>I7-I5</f>
        <v/>
      </c>
      <c r="J6" s="20">
        <f>J7-J5</f>
        <v/>
      </c>
      <c r="K6" s="20">
        <f>K7-K5</f>
        <v/>
      </c>
      <c r="L6" s="20">
        <f>Assumptions!$B$50</f>
        <v/>
      </c>
      <c r="M6" s="20">
        <f>Assumptions!$B$51</f>
        <v/>
      </c>
    </row>
    <row r="7">
      <c r="A7" s="5" t="inlineStr">
        <is>
          <t>Core sales</t>
        </is>
      </c>
      <c r="B7" s="19" t="n">
        <v>3.258</v>
      </c>
      <c r="C7" s="19" t="n">
        <v>3.604</v>
      </c>
      <c r="D7" s="19" t="n">
        <v>3.733</v>
      </c>
      <c r="E7" s="19" t="n">
        <v>3.874</v>
      </c>
      <c r="F7" s="19" t="n">
        <v>3.679</v>
      </c>
      <c r="G7" s="19" t="n">
        <v>4.045</v>
      </c>
      <c r="H7" s="19" t="n">
        <v>4.272</v>
      </c>
      <c r="I7" s="19" t="n">
        <v>4.412</v>
      </c>
      <c r="J7" s="19" t="n">
        <v>4.345</v>
      </c>
      <c r="K7" s="19" t="n">
        <v>4.738</v>
      </c>
      <c r="L7" s="20">
        <f>L5+L6</f>
        <v/>
      </c>
      <c r="M7" s="20">
        <f>M5+M6</f>
        <v/>
      </c>
    </row>
    <row r="8">
      <c r="A8" s="21" t="inlineStr">
        <is>
          <t>Optical growth y/y (derived)</t>
        </is>
      </c>
      <c r="B8" s="22" t="inlineStr"/>
      <c r="C8" s="22" t="inlineStr"/>
      <c r="D8" s="22" t="inlineStr"/>
      <c r="E8" s="22" t="inlineStr"/>
      <c r="F8" s="22">
        <f>F5/B5-1</f>
        <v/>
      </c>
      <c r="G8" s="22">
        <f>G5/C5-1</f>
        <v/>
      </c>
      <c r="H8" s="22">
        <f>H5/D5-1</f>
        <v/>
      </c>
      <c r="I8" s="22">
        <f>I5/E5-1</f>
        <v/>
      </c>
      <c r="J8" s="22">
        <f>J5/F5-1</f>
        <v/>
      </c>
      <c r="K8" s="22">
        <f>K5/G5-1</f>
        <v/>
      </c>
      <c r="L8" s="22">
        <f>L5/H5-1</f>
        <v/>
      </c>
      <c r="M8" s="22">
        <f>M5/I5-1</f>
        <v/>
      </c>
    </row>
    <row r="9">
      <c r="A9" s="21" t="inlineStr">
        <is>
          <t>Optical share of core sales (derived)</t>
        </is>
      </c>
      <c r="B9" s="22">
        <f>B5/B7</f>
        <v/>
      </c>
      <c r="C9" s="22">
        <f>C5/C7</f>
        <v/>
      </c>
      <c r="D9" s="22">
        <f>D5/D7</f>
        <v/>
      </c>
      <c r="E9" s="22">
        <f>E5/E7</f>
        <v/>
      </c>
      <c r="F9" s="22">
        <f>F5/F7</f>
        <v/>
      </c>
      <c r="G9" s="22">
        <f>G5/G7</f>
        <v/>
      </c>
      <c r="H9" s="22">
        <f>H5/H7</f>
        <v/>
      </c>
      <c r="I9" s="22">
        <f>I5/I7</f>
        <v/>
      </c>
      <c r="J9" s="22">
        <f>J5/J7</f>
        <v/>
      </c>
      <c r="K9" s="22">
        <f>K5/K7</f>
        <v/>
      </c>
      <c r="L9" s="22">
        <f>L5/L7</f>
        <v/>
      </c>
      <c r="M9" s="22">
        <f>M5/M7</f>
        <v/>
      </c>
    </row>
    <row r="10">
      <c r="A10" s="21" t="inlineStr">
        <is>
          <t>Optical segment net income</t>
        </is>
      </c>
      <c r="B10" s="19" t="n">
        <v>0.1</v>
      </c>
      <c r="C10" s="19" t="n">
        <v>0.143</v>
      </c>
      <c r="D10" s="19" t="n">
        <v>0.175</v>
      </c>
      <c r="E10" s="19" t="n">
        <v>0.194</v>
      </c>
      <c r="F10" s="19" t="n">
        <v>0.201</v>
      </c>
      <c r="G10" s="19" t="n">
        <v>0.247</v>
      </c>
      <c r="H10" s="19" t="n">
        <v>0.295</v>
      </c>
      <c r="I10" s="19" t="n">
        <v>0.305</v>
      </c>
      <c r="J10" s="19" t="n">
        <v>0.387</v>
      </c>
      <c r="K10" s="19" t="n">
        <v>0.438</v>
      </c>
      <c r="L10" s="20">
        <f>L5*Assumptions!$B$52</f>
        <v/>
      </c>
      <c r="M10" s="20">
        <f>M5*Assumptions!$B$53</f>
        <v/>
      </c>
    </row>
    <row r="11">
      <c r="A11" s="5" t="inlineStr">
        <is>
          <t>Optical segment net margin (derived)</t>
        </is>
      </c>
      <c r="B11" s="22">
        <f>B10/B5</f>
        <v/>
      </c>
      <c r="C11" s="22">
        <f>C10/C5</f>
        <v/>
      </c>
      <c r="D11" s="22">
        <f>D10/D5</f>
        <v/>
      </c>
      <c r="E11" s="22">
        <f>E10/E5</f>
        <v/>
      </c>
      <c r="F11" s="22">
        <f>F10/F5</f>
        <v/>
      </c>
      <c r="G11" s="22">
        <f>G10/G5</f>
        <v/>
      </c>
      <c r="H11" s="22">
        <f>H10/H5</f>
        <v/>
      </c>
      <c r="I11" s="22">
        <f>I10/I5</f>
        <v/>
      </c>
      <c r="J11" s="22">
        <f>J10/J5</f>
        <v/>
      </c>
      <c r="K11" s="22">
        <f>K10/K5</f>
        <v/>
      </c>
      <c r="L11" s="22">
        <f>L10/L5</f>
        <v/>
      </c>
      <c r="M11" s="22">
        <f>M10/M5</f>
        <v/>
      </c>
    </row>
    <row r="12">
      <c r="A12" s="5" t="inlineStr">
        <is>
          <t>Core EPS, US$ (reported; Q3 / Q4 26 mine)</t>
        </is>
      </c>
      <c r="B12" s="23" t="n">
        <v>0.38</v>
      </c>
      <c r="C12" s="23" t="n">
        <v>0.47</v>
      </c>
      <c r="D12" s="23" t="n">
        <v>0.54</v>
      </c>
      <c r="E12" s="23" t="n">
        <v>0.57</v>
      </c>
      <c r="F12" s="23" t="n">
        <v>0.54</v>
      </c>
      <c r="G12" s="23" t="n">
        <v>0.6</v>
      </c>
      <c r="H12" s="23" t="n">
        <v>0.67</v>
      </c>
      <c r="I12" s="23" t="n">
        <v>0.72</v>
      </c>
      <c r="J12" s="23" t="n">
        <v>0.7</v>
      </c>
      <c r="K12" s="23" t="n">
        <v>0.78</v>
      </c>
      <c r="L12" s="24">
        <f>(L10+L6*Assumptions!$B$54+Assumptions!$B$55)/Assumptions!$B$14</f>
        <v/>
      </c>
      <c r="M12" s="24">
        <f>(M10+M6*Assumptions!$B$54+Assumptions!$B$55)/Assumptions!$B$14</f>
        <v/>
      </c>
    </row>
    <row r="14">
      <c r="A14" s="11" t="inlineStr">
        <is>
          <t>Checks</t>
        </is>
      </c>
    </row>
    <row r="15">
      <c r="A15" t="inlineStr">
        <is>
          <t>Trailing four quarters core EPS to Q2 26</t>
        </is>
      </c>
      <c r="B15" s="25">
        <f>SUM(H12:K12)</f>
        <v/>
      </c>
    </row>
    <row r="16">
      <c r="A16" t="inlineStr">
        <is>
          <t>Q3 26 core EPS guide midpoint</t>
        </is>
      </c>
      <c r="B16" s="25">
        <f>(Assumptions!$B$34+Assumptions!$B$35)/2</f>
        <v/>
      </c>
    </row>
    <row r="17">
      <c r="A17" t="inlineStr">
        <is>
          <t>Q3 26 core sales guide midpoint</t>
        </is>
      </c>
      <c r="B17" s="26">
        <f>(Assumptions!$B$32+Assumptions!$B$33)/2</f>
        <v/>
      </c>
    </row>
    <row r="18">
      <c r="A18" t="inlineStr">
        <is>
          <t>Q4 26E annualised sales run-rate (Springboard: US$20bn by end 2026)</t>
        </is>
      </c>
      <c r="B18" s="27">
        <f>M7*4</f>
        <v/>
      </c>
    </row>
    <row r="19">
      <c r="A19" t="inlineStr">
        <is>
          <t>Enterprise share of optical, Q2 26</t>
        </is>
      </c>
      <c r="B19" s="28">
        <f>Assumptions!$B$36/K5</f>
        <v/>
      </c>
    </row>
    <row r="20">
      <c r="A20" t="inlineStr">
        <is>
          <t>Carrier sales, Q2 26 (derived)</t>
        </is>
      </c>
      <c r="B20" s="29">
        <f>K5-Assumptions!$B$36</f>
        <v/>
      </c>
    </row>
    <row r="21">
      <c r="A21" t="inlineStr">
        <is>
          <t>Carrier sales, Q2 25 (derived)</t>
        </is>
      </c>
      <c r="B21" s="29">
        <f>G5-Assumptions!$B$36/(1+Assumptions!$B$37)</f>
        <v/>
      </c>
    </row>
    <row r="23">
      <c r="A23" s="12" t="inlineStr">
        <is>
          <t>Source: Corning quarterly earnings releases (Exhibit 99 to Form 8-K), 30 April 2024 to 28 July 2026. Core measures are non-GAAP.</t>
        </is>
      </c>
    </row>
    <row r="24">
      <c r="A24" s="12" t="inlineStr">
        <is>
          <t>Q3 26E and Q4 26E are my estimates; EPS = (optical net income + rest x margin + corporate line) / diluted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FINANCIAL SUMMARY AND FORECASTS (US$ billion unless stated, core basis)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/>
      <c r="B4" s="4" t="inlineStr">
        <is>
          <t>2023A</t>
        </is>
      </c>
      <c r="C4" s="4" t="inlineStr">
        <is>
          <t>2024A</t>
        </is>
      </c>
      <c r="D4" s="4" t="inlineStr">
        <is>
          <t>2025A</t>
        </is>
      </c>
      <c r="E4" s="4" t="inlineStr">
        <is>
          <t>2026E*</t>
        </is>
      </c>
      <c r="F4" s="4" t="inlineStr">
        <is>
          <t>2027E*</t>
        </is>
      </c>
      <c r="G4" s="4" t="inlineStr">
        <is>
          <t>2028E*</t>
        </is>
      </c>
    </row>
    <row r="5">
      <c r="A5" s="21" t="inlineStr">
        <is>
          <t>Optical Communications sales</t>
        </is>
      </c>
      <c r="B5" s="30" t="n">
        <v>4.012</v>
      </c>
      <c r="C5" s="30" t="n">
        <v>4.657</v>
      </c>
      <c r="D5" s="30" t="n">
        <v>6.274</v>
      </c>
      <c r="E5" s="31">
        <f>SUM(Quarterly!J5:M5)</f>
        <v/>
      </c>
      <c r="F5" s="31">
        <f>E5*(1+Scenarios!B6)</f>
        <v/>
      </c>
      <c r="G5" s="31">
        <f>F5*(1+Scenarios!C6)</f>
        <v/>
      </c>
    </row>
    <row r="6">
      <c r="A6" s="21" t="inlineStr">
        <is>
          <t>Rest of Corning sales</t>
        </is>
      </c>
      <c r="B6" s="31">
        <f>B7-B5</f>
        <v/>
      </c>
      <c r="C6" s="31">
        <f>C7-C5</f>
        <v/>
      </c>
      <c r="D6" s="31">
        <f>D7-D5</f>
        <v/>
      </c>
      <c r="E6" s="31">
        <f>SUM(Quarterly!J6:M6)</f>
        <v/>
      </c>
      <c r="F6" s="31">
        <f>E6*(1+Scenarios!F6)</f>
        <v/>
      </c>
      <c r="G6" s="31">
        <f>F6*(1+Scenarios!G6)</f>
        <v/>
      </c>
    </row>
    <row r="7">
      <c r="A7" s="5" t="inlineStr">
        <is>
          <t>Core sales</t>
        </is>
      </c>
      <c r="B7" s="30" t="n">
        <v>13.58</v>
      </c>
      <c r="C7" s="30" t="n">
        <v>14.469</v>
      </c>
      <c r="D7" s="30" t="n">
        <v>16.408</v>
      </c>
      <c r="E7" s="31">
        <f>E5+E6</f>
        <v/>
      </c>
      <c r="F7" s="31">
        <f>F5+F6</f>
        <v/>
      </c>
      <c r="G7" s="31">
        <f>G5+G6</f>
        <v/>
      </c>
    </row>
    <row r="8">
      <c r="A8" s="21" t="inlineStr">
        <is>
          <t>Core sales growth</t>
        </is>
      </c>
      <c r="B8" s="22" t="inlineStr"/>
      <c r="C8" s="22">
        <f>C7/B7-1</f>
        <v/>
      </c>
      <c r="D8" s="22">
        <f>D7/C7-1</f>
        <v/>
      </c>
      <c r="E8" s="22">
        <f>E7/D7-1</f>
        <v/>
      </c>
      <c r="F8" s="22">
        <f>F7/E7-1</f>
        <v/>
      </c>
      <c r="G8" s="22">
        <f>G7/F7-1</f>
        <v/>
      </c>
    </row>
    <row r="9">
      <c r="A9" s="21" t="inlineStr">
        <is>
          <t>Optical share of sales</t>
        </is>
      </c>
      <c r="B9" s="22">
        <f>B5/B7</f>
        <v/>
      </c>
      <c r="C9" s="22">
        <f>C5/C7</f>
        <v/>
      </c>
      <c r="D9" s="22">
        <f>D5/D7</f>
        <v/>
      </c>
      <c r="E9" s="22">
        <f>E5/E7</f>
        <v/>
      </c>
      <c r="F9" s="22">
        <f>F5/F7</f>
        <v/>
      </c>
      <c r="G9" s="22">
        <f>G5/G7</f>
        <v/>
      </c>
    </row>
    <row r="10">
      <c r="A10" s="21" t="inlineStr">
        <is>
          <t>Optical segment net income</t>
        </is>
      </c>
      <c r="B10" s="30" t="n">
        <v>0.478</v>
      </c>
      <c r="C10" s="30" t="n">
        <v>0.612</v>
      </c>
      <c r="D10" s="30" t="n">
        <v>1.048</v>
      </c>
      <c r="E10" s="31">
        <f>SUM(Quarterly!J10:M10)</f>
        <v/>
      </c>
      <c r="F10" s="31">
        <f>F5*Scenarios!D6</f>
        <v/>
      </c>
      <c r="G10" s="31">
        <f>G5*Scenarios!E6</f>
        <v/>
      </c>
    </row>
    <row r="11">
      <c r="A11" s="5" t="inlineStr">
        <is>
          <t>Optical segment net margin</t>
        </is>
      </c>
      <c r="B11" s="22">
        <f>B10/B5</f>
        <v/>
      </c>
      <c r="C11" s="22">
        <f>C10/C5</f>
        <v/>
      </c>
      <c r="D11" s="22">
        <f>D10/D5</f>
        <v/>
      </c>
      <c r="E11" s="22">
        <f>E10/E5</f>
        <v/>
      </c>
      <c r="F11" s="22">
        <f>F10/F5</f>
        <v/>
      </c>
      <c r="G11" s="22">
        <f>G10/G5</f>
        <v/>
      </c>
    </row>
    <row r="12">
      <c r="A12" s="21" t="inlineStr">
        <is>
          <t>Rest of Corning segment net income</t>
        </is>
      </c>
      <c r="B12" s="31" t="inlineStr"/>
      <c r="C12" s="31" t="inlineStr"/>
      <c r="D12" s="31" t="inlineStr"/>
      <c r="E12" s="31">
        <f>(Assumptions!$B$29-Assumptions!$B$28)+(Quarterly!L6+Quarterly!M6)*Assumptions!$B$54</f>
        <v/>
      </c>
      <c r="F12" s="31">
        <f>F6*Scenarios!H6</f>
        <v/>
      </c>
      <c r="G12" s="31">
        <f>G6*Scenarios!I6</f>
        <v/>
      </c>
    </row>
    <row r="13">
      <c r="A13" s="21" t="inlineStr">
        <is>
          <t>Corporate line (core net income less segments)</t>
        </is>
      </c>
      <c r="B13" s="31" t="inlineStr"/>
      <c r="C13" s="31" t="inlineStr"/>
      <c r="D13" s="31" t="inlineStr"/>
      <c r="E13" s="31">
        <f>(Assumptions!$B$30-Assumptions!$B$29)+2*Assumptions!$B$55</f>
        <v/>
      </c>
      <c r="F13" s="32">
        <f>Assumptions!$B$56</f>
        <v/>
      </c>
      <c r="G13" s="32">
        <f>Assumptions!$B$57</f>
        <v/>
      </c>
    </row>
    <row r="14">
      <c r="A14" s="5" t="inlineStr">
        <is>
          <t>Core net income</t>
        </is>
      </c>
      <c r="B14" s="30" t="n">
        <v>1.463</v>
      </c>
      <c r="C14" s="30" t="n">
        <v>1.699</v>
      </c>
      <c r="D14" s="30" t="n">
        <v>2.199</v>
      </c>
      <c r="E14" s="31">
        <f>E10+E12+E13</f>
        <v/>
      </c>
      <c r="F14" s="31">
        <f>F10+F12+F13</f>
        <v/>
      </c>
      <c r="G14" s="31">
        <f>G10+G12+G13</f>
        <v/>
      </c>
    </row>
    <row r="15">
      <c r="A15" s="21" t="inlineStr">
        <is>
          <t>Core net margin</t>
        </is>
      </c>
      <c r="B15" s="22">
        <f>B14/B7</f>
        <v/>
      </c>
      <c r="C15" s="22">
        <f>C14/C7</f>
        <v/>
      </c>
      <c r="D15" s="22">
        <f>D14/D7</f>
        <v/>
      </c>
      <c r="E15" s="22">
        <f>E14/E7</f>
        <v/>
      </c>
      <c r="F15" s="22">
        <f>F14/F7</f>
        <v/>
      </c>
      <c r="G15" s="22">
        <f>G14/G7</f>
        <v/>
      </c>
    </row>
    <row r="16">
      <c r="A16" s="21" t="inlineStr">
        <is>
          <t>Diluted shares, bn</t>
        </is>
      </c>
      <c r="B16" s="20" t="inlineStr"/>
      <c r="C16" s="20" t="inlineStr"/>
      <c r="D16" s="20" t="inlineStr"/>
      <c r="E16" s="33">
        <f>Assumptions!$B$14</f>
        <v/>
      </c>
      <c r="F16" s="33">
        <f>Assumptions!$B$14+Assumptions!$B$38/Assumptions!$B$7*Assumptions!$B$58</f>
        <v/>
      </c>
      <c r="G16" s="33">
        <f>Assumptions!$B$14+Assumptions!$B$38/Assumptions!$B$7*Assumptions!$B$59</f>
        <v/>
      </c>
    </row>
    <row r="17">
      <c r="A17" s="5" t="inlineStr">
        <is>
          <t>Core EPS, US$</t>
        </is>
      </c>
      <c r="B17" s="23" t="n">
        <v>1.7</v>
      </c>
      <c r="C17" s="23" t="n">
        <v>1.96</v>
      </c>
      <c r="D17" s="23" t="n">
        <v>2.52</v>
      </c>
      <c r="E17" s="9">
        <f>Assumptions!$B$31+Quarterly!L12+Quarterly!M12</f>
        <v/>
      </c>
      <c r="F17" s="24">
        <f>F14/F16</f>
        <v/>
      </c>
      <c r="G17" s="24">
        <f>G14/G16</f>
        <v/>
      </c>
    </row>
    <row r="18">
      <c r="A18" s="21" t="inlineStr">
        <is>
          <t>Core EPS growth</t>
        </is>
      </c>
      <c r="B18" s="22" t="inlineStr"/>
      <c r="C18" s="22">
        <f>C17/B17-1</f>
        <v/>
      </c>
      <c r="D18" s="22">
        <f>D17/C17-1</f>
        <v/>
      </c>
      <c r="E18" s="22">
        <f>E17/D17-1</f>
        <v/>
      </c>
      <c r="F18" s="22">
        <f>F17/E17-1</f>
        <v/>
      </c>
      <c r="G18" s="22">
        <f>G17/F17-1</f>
        <v/>
      </c>
    </row>
    <row r="19">
      <c r="A19" s="21" t="inlineStr">
        <is>
          <t>P/E at reference price</t>
        </is>
      </c>
      <c r="B19" s="34">
        <f>Assumptions!$B$7/B17</f>
        <v/>
      </c>
      <c r="C19" s="34">
        <f>Assumptions!$B$7/C17</f>
        <v/>
      </c>
      <c r="D19" s="34">
        <f>Assumptions!$B$7/D17</f>
        <v/>
      </c>
      <c r="E19" s="34">
        <f>Assumptions!$B$7/E17</f>
        <v/>
      </c>
      <c r="F19" s="34">
        <f>Assumptions!$B$7/F17</f>
        <v/>
      </c>
      <c r="G19" s="34">
        <f>Assumptions!$B$7/G17</f>
        <v/>
      </c>
    </row>
    <row r="20">
      <c r="A20" s="21" t="inlineStr">
        <is>
          <t>Consensus core EPS, US$</t>
        </is>
      </c>
      <c r="B20" s="24" t="inlineStr"/>
      <c r="C20" s="24" t="inlineStr"/>
      <c r="D20" s="24" t="inlineStr"/>
      <c r="E20" s="9">
        <f>Assumptions!$B$19</f>
        <v/>
      </c>
      <c r="F20" s="9">
        <f>Assumptions!$B$20</f>
        <v/>
      </c>
      <c r="G20" s="9">
        <f>Assumptions!$B$21</f>
        <v/>
      </c>
    </row>
    <row r="21">
      <c r="A21" s="21" t="inlineStr">
        <is>
          <t>Mine against consensus</t>
        </is>
      </c>
      <c r="B21" s="22" t="inlineStr"/>
      <c r="C21" s="22" t="inlineStr"/>
      <c r="D21" s="22" t="inlineStr"/>
      <c r="E21" s="22">
        <f>E17/E20-1</f>
        <v/>
      </c>
      <c r="F21" s="22">
        <f>F17/F20-1</f>
        <v/>
      </c>
      <c r="G21" s="22">
        <f>G17/G20-1</f>
        <v/>
      </c>
    </row>
    <row r="22">
      <c r="A22" s="21" t="inlineStr">
        <is>
          <t>Core operating margin (reported)</t>
        </is>
      </c>
      <c r="B22" s="35" t="n">
        <v>0.165</v>
      </c>
      <c r="C22" s="35" t="n">
        <v>0.175</v>
      </c>
      <c r="D22" s="35" t="n">
        <v>0.193</v>
      </c>
      <c r="E22" s="22" t="inlineStr"/>
      <c r="F22" s="22" t="inlineStr"/>
      <c r="G22" s="22" t="inlineStr"/>
    </row>
    <row r="23">
      <c r="A23" s="21" t="inlineStr">
        <is>
          <t>Capital expenditures</t>
        </is>
      </c>
      <c r="B23" s="30" t="n">
        <v>1.39</v>
      </c>
      <c r="C23" s="30" t="n">
        <v>0.965</v>
      </c>
      <c r="D23" s="30" t="n">
        <v>1.282</v>
      </c>
      <c r="E23" s="32">
        <f>Assumptions!$B$39</f>
        <v/>
      </c>
      <c r="F23" s="31" t="inlineStr"/>
      <c r="G23" s="31" t="inlineStr"/>
    </row>
    <row r="24">
      <c r="A24" s="21" t="inlineStr">
        <is>
          <t>Adjusted free cash flow (Corning definition)</t>
        </is>
      </c>
      <c r="B24" s="30" t="n">
        <v>0.88</v>
      </c>
      <c r="C24" s="30" t="n">
        <v>1.253</v>
      </c>
      <c r="D24" s="30" t="n">
        <v>1.717</v>
      </c>
      <c r="E24" s="31" t="inlineStr"/>
      <c r="F24" s="31" t="inlineStr"/>
      <c r="G24" s="31" t="inlineStr"/>
    </row>
    <row r="25">
      <c r="A25" s="21" t="inlineStr">
        <is>
          <t>Of which customer deposits and government incentives</t>
        </is>
      </c>
      <c r="B25" s="30" t="n">
        <v>-0.042</v>
      </c>
      <c r="C25" s="30" t="n">
        <v>-0.006</v>
      </c>
      <c r="D25" s="30" t="n">
        <v>0.268</v>
      </c>
      <c r="E25" s="31" t="inlineStr"/>
      <c r="F25" s="31" t="inlineStr"/>
      <c r="G25" s="31" t="inlineStr"/>
    </row>
    <row r="26">
      <c r="A26" s="21" t="inlineStr">
        <is>
          <t>Dividends paid</t>
        </is>
      </c>
      <c r="B26" s="30" t="n">
        <v>0.989</v>
      </c>
      <c r="C26" s="30" t="n">
        <v>0.986</v>
      </c>
      <c r="D26" s="30" t="n">
        <v>0.999</v>
      </c>
      <c r="E26" s="31" t="inlineStr"/>
      <c r="F26" s="31" t="inlineStr"/>
      <c r="G26" s="31" t="inlineStr"/>
    </row>
    <row r="28">
      <c r="A28" s="12" t="inlineStr">
        <is>
          <t>*2026E to 2028E are my own estimates. 2026E = reported H1 plus my Q3 and Q4 (Quarterly tab). 2027E and 2028E use the base case on the Scenarios tab (row 6).</t>
        </is>
      </c>
    </row>
    <row r="29">
      <c r="A29" s="12" t="inlineStr">
        <is>
          <t>Core net income = optical segment net income + rest of Corning segment net income + corporate line. History from Corning's fourth quarter releases and Form 10-K.</t>
        </is>
      </c>
    </row>
    <row r="30">
      <c r="A30" s="12" t="inlineStr">
        <is>
          <t>Note check: 2026E sales 19.11, EPS 3.25; 2027E 23.04, 4.37; 2028E 26.84, 5.41.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THREE CASES, TWELVE MONTHS OUT, AND WHICH DRIVER MATTERS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Case</t>
        </is>
      </c>
      <c r="B4" s="4" t="inlineStr">
        <is>
          <t>Opt g 27</t>
        </is>
      </c>
      <c r="C4" s="4" t="inlineStr">
        <is>
          <t>Opt g 28</t>
        </is>
      </c>
      <c r="D4" s="4" t="inlineStr">
        <is>
          <t>Opt m 27</t>
        </is>
      </c>
      <c r="E4" s="4" t="inlineStr">
        <is>
          <t>Opt m 28</t>
        </is>
      </c>
      <c r="F4" s="4" t="inlineStr">
        <is>
          <t>Rest g 27</t>
        </is>
      </c>
      <c r="G4" s="4" t="inlineStr">
        <is>
          <t>Rest g 28</t>
        </is>
      </c>
      <c r="H4" s="4" t="inlineStr">
        <is>
          <t>Rest m 27</t>
        </is>
      </c>
      <c r="I4" s="4" t="inlineStr">
        <is>
          <t>Rest m 28</t>
        </is>
      </c>
      <c r="J4" s="4" t="inlineStr">
        <is>
          <t>2028 optical</t>
        </is>
      </c>
      <c r="K4" s="4" t="inlineStr">
        <is>
          <t>2028 sales</t>
        </is>
      </c>
      <c r="L4" s="4" t="inlineStr">
        <is>
          <t>2028 core NI</t>
        </is>
      </c>
      <c r="M4" s="4" t="inlineStr">
        <is>
          <t>2028 EPS</t>
        </is>
      </c>
      <c r="N4" s="4" t="inlineStr">
        <is>
          <t>Multiple</t>
        </is>
      </c>
      <c r="O4" s="4" t="inlineStr">
        <is>
          <t>Value, US$</t>
        </is>
      </c>
      <c r="P4" s="4" t="inlineStr">
        <is>
          <t>vs price</t>
        </is>
      </c>
    </row>
    <row r="5">
      <c r="A5" s="5" t="inlineStr">
        <is>
          <t>Bear</t>
        </is>
      </c>
      <c r="B5" s="17" t="n">
        <v>0.22</v>
      </c>
      <c r="C5" s="17" t="n">
        <v>0.12</v>
      </c>
      <c r="D5" s="17" t="n">
        <v>0.21</v>
      </c>
      <c r="E5" s="17" t="n">
        <v>0.2</v>
      </c>
      <c r="F5" s="17" t="n">
        <v>0.06</v>
      </c>
      <c r="G5" s="17" t="n">
        <v>0.05</v>
      </c>
      <c r="H5" s="17" t="n">
        <v>0.16</v>
      </c>
      <c r="I5" s="17" t="n">
        <v>0.16</v>
      </c>
      <c r="J5" s="26">
        <f>Financials!$E$5*(1+B5)*(1+C5)</f>
        <v/>
      </c>
      <c r="K5" s="26">
        <f>J5+Financials!$E$6*(1+F5)*(1+G5)</f>
        <v/>
      </c>
      <c r="L5" s="26">
        <f>J5*E5+(K5-J5)*I5+Assumptions!$B$57</f>
        <v/>
      </c>
      <c r="M5" s="25">
        <f>L5/Financials!$G$16</f>
        <v/>
      </c>
      <c r="N5" s="18" t="n">
        <v>22</v>
      </c>
      <c r="O5" s="25">
        <f>M5*N5</f>
        <v/>
      </c>
      <c r="P5" s="36">
        <f>O5/Assumptions!$B$7-1</f>
        <v/>
      </c>
    </row>
    <row r="6">
      <c r="A6" s="5" t="inlineStr">
        <is>
          <t>Base</t>
        </is>
      </c>
      <c r="B6" s="17" t="n">
        <v>0.35</v>
      </c>
      <c r="C6" s="17" t="n">
        <v>0.25</v>
      </c>
      <c r="D6" s="17" t="n">
        <v>0.23</v>
      </c>
      <c r="E6" s="17" t="n">
        <v>0.24</v>
      </c>
      <c r="F6" s="17" t="n">
        <v>0.09</v>
      </c>
      <c r="G6" s="17" t="n">
        <v>0.08</v>
      </c>
      <c r="H6" s="17" t="n">
        <v>0.165</v>
      </c>
      <c r="I6" s="17" t="n">
        <v>0.17</v>
      </c>
      <c r="J6" s="26">
        <f>Financials!$E$5*(1+B6)*(1+C6)</f>
        <v/>
      </c>
      <c r="K6" s="26">
        <f>J6+Financials!$E$6*(1+F6)*(1+G6)</f>
        <v/>
      </c>
      <c r="L6" s="26">
        <f>J6*E6+(K6-J6)*I6+Assumptions!$B$57</f>
        <v/>
      </c>
      <c r="M6" s="25">
        <f>L6/Financials!$G$16</f>
        <v/>
      </c>
      <c r="N6" s="37">
        <f>Assumptions!$B$60</f>
        <v/>
      </c>
      <c r="O6" s="25">
        <f>M6*N6</f>
        <v/>
      </c>
      <c r="P6" s="36">
        <f>O6/Assumptions!$B$7-1</f>
        <v/>
      </c>
    </row>
    <row r="7">
      <c r="A7" s="5" t="inlineStr">
        <is>
          <t>Bull</t>
        </is>
      </c>
      <c r="B7" s="17" t="n">
        <v>0.45</v>
      </c>
      <c r="C7" s="17" t="n">
        <v>0.32</v>
      </c>
      <c r="D7" s="17" t="n">
        <v>0.24</v>
      </c>
      <c r="E7" s="17" t="n">
        <v>0.255</v>
      </c>
      <c r="F7" s="17" t="n">
        <v>0.12</v>
      </c>
      <c r="G7" s="17" t="n">
        <v>0.1</v>
      </c>
      <c r="H7" s="17" t="n">
        <v>0.17</v>
      </c>
      <c r="I7" s="17" t="n">
        <v>0.18</v>
      </c>
      <c r="J7" s="26">
        <f>Financials!$E$5*(1+B7)*(1+C7)</f>
        <v/>
      </c>
      <c r="K7" s="26">
        <f>J7+Financials!$E$6*(1+F7)*(1+G7)</f>
        <v/>
      </c>
      <c r="L7" s="26">
        <f>J7*E7+(K7-J7)*I7+Assumptions!$B$57</f>
        <v/>
      </c>
      <c r="M7" s="25">
        <f>L7/Financials!$G$16</f>
        <v/>
      </c>
      <c r="N7" s="18" t="n">
        <v>34</v>
      </c>
      <c r="O7" s="25">
        <f>M7*N7</f>
        <v/>
      </c>
      <c r="P7" s="36">
        <f>O7/Assumptions!$B$7-1</f>
        <v/>
      </c>
    </row>
    <row r="9">
      <c r="B9" s="5" t="inlineStr">
        <is>
          <t>Bear</t>
        </is>
      </c>
      <c r="C9" s="5" t="inlineStr">
        <is>
          <t>Base</t>
        </is>
      </c>
      <c r="D9" s="5" t="inlineStr">
        <is>
          <t>Bull</t>
        </is>
      </c>
    </row>
    <row r="10">
      <c r="A10" s="5" t="inlineStr">
        <is>
          <t>Probability</t>
        </is>
      </c>
      <c r="B10" s="38" t="n">
        <v>0.25</v>
      </c>
      <c r="C10" s="38" t="n">
        <v>0.5</v>
      </c>
      <c r="D10" s="38" t="n">
        <v>0.25</v>
      </c>
      <c r="E10" s="36">
        <f>SUM(B10:D10)</f>
        <v/>
      </c>
      <c r="F10" s="12" t="inlineStr">
        <is>
          <t>must be 100%</t>
        </is>
      </c>
    </row>
    <row r="12">
      <c r="A12" s="5" t="inlineStr">
        <is>
          <t>Probability-weighted value, US$</t>
        </is>
      </c>
      <c r="O12" s="39">
        <f>B10*O5+C10*O6+D10*O7</f>
        <v/>
      </c>
      <c r="P12" s="28">
        <f>O12/Assumptions!$B$7-1</f>
        <v/>
      </c>
    </row>
    <row r="14">
      <c r="A14" s="11" t="inlineStr">
        <is>
          <t>Which driver matters: swing one part from bear to bull, the other held at base</t>
        </is>
      </c>
    </row>
    <row r="15">
      <c r="A15" s="3" t="inlineStr">
        <is>
          <t>Case</t>
        </is>
      </c>
      <c r="B15" s="4" t="inlineStr">
        <is>
          <t>Opt g 27</t>
        </is>
      </c>
      <c r="C15" s="4" t="inlineStr">
        <is>
          <t>Opt g 28</t>
        </is>
      </c>
      <c r="D15" s="4" t="inlineStr">
        <is>
          <t>Opt m 27</t>
        </is>
      </c>
      <c r="E15" s="4" t="inlineStr">
        <is>
          <t>Opt m 28</t>
        </is>
      </c>
      <c r="F15" s="4" t="inlineStr">
        <is>
          <t>Rest g 27</t>
        </is>
      </c>
      <c r="G15" s="4" t="inlineStr">
        <is>
          <t>Rest g 28</t>
        </is>
      </c>
      <c r="H15" s="4" t="inlineStr">
        <is>
          <t>Rest m 27</t>
        </is>
      </c>
      <c r="I15" s="4" t="inlineStr">
        <is>
          <t>Rest m 28</t>
        </is>
      </c>
      <c r="J15" s="4" t="inlineStr">
        <is>
          <t>2028 optical</t>
        </is>
      </c>
      <c r="K15" s="4" t="inlineStr">
        <is>
          <t>2028 sales</t>
        </is>
      </c>
      <c r="L15" s="4" t="inlineStr">
        <is>
          <t>2028 core NI</t>
        </is>
      </c>
      <c r="M15" s="4" t="inlineStr">
        <is>
          <t>2028 EPS</t>
        </is>
      </c>
      <c r="N15" s="4" t="inlineStr">
        <is>
          <t>Multiple</t>
        </is>
      </c>
      <c r="O15" s="4" t="inlineStr">
        <is>
          <t>Value, US$</t>
        </is>
      </c>
      <c r="P15" s="4" t="inlineStr">
        <is>
          <t>vs price</t>
        </is>
      </c>
    </row>
    <row r="16">
      <c r="A16" s="5" t="inlineStr">
        <is>
          <t>Optical bear, rest base</t>
        </is>
      </c>
      <c r="B16" s="28">
        <f>B5</f>
        <v/>
      </c>
      <c r="C16" s="28">
        <f>C5</f>
        <v/>
      </c>
      <c r="D16" s="28">
        <f>D5</f>
        <v/>
      </c>
      <c r="E16" s="28">
        <f>E5</f>
        <v/>
      </c>
      <c r="F16" s="28">
        <f>F6</f>
        <v/>
      </c>
      <c r="G16" s="28">
        <f>G6</f>
        <v/>
      </c>
      <c r="H16" s="28">
        <f>H6</f>
        <v/>
      </c>
      <c r="I16" s="28">
        <f>I6</f>
        <v/>
      </c>
      <c r="J16" s="26">
        <f>Financials!$E$5*(1+B16)*(1+C16)</f>
        <v/>
      </c>
      <c r="K16" s="26">
        <f>J16+Financials!$E$6*(1+F16)*(1+G16)</f>
        <v/>
      </c>
      <c r="L16" s="26">
        <f>J16*E16+(K16-J16)*I16+Assumptions!$B$57</f>
        <v/>
      </c>
      <c r="M16" s="25">
        <f>L16/Financials!$G$16</f>
        <v/>
      </c>
      <c r="N16" s="37">
        <f>Assumptions!$B$60</f>
        <v/>
      </c>
      <c r="O16" s="25">
        <f>M16*N16</f>
        <v/>
      </c>
      <c r="P16" s="36">
        <f>O16/Assumptions!$B$7-1</f>
        <v/>
      </c>
    </row>
    <row r="17">
      <c r="A17" s="5" t="inlineStr">
        <is>
          <t>Optical bull, rest base</t>
        </is>
      </c>
      <c r="B17" s="28">
        <f>B7</f>
        <v/>
      </c>
      <c r="C17" s="28">
        <f>C7</f>
        <v/>
      </c>
      <c r="D17" s="28">
        <f>D7</f>
        <v/>
      </c>
      <c r="E17" s="28">
        <f>E7</f>
        <v/>
      </c>
      <c r="F17" s="28">
        <f>F6</f>
        <v/>
      </c>
      <c r="G17" s="28">
        <f>G6</f>
        <v/>
      </c>
      <c r="H17" s="28">
        <f>H6</f>
        <v/>
      </c>
      <c r="I17" s="28">
        <f>I6</f>
        <v/>
      </c>
      <c r="J17" s="26">
        <f>Financials!$E$5*(1+B17)*(1+C17)</f>
        <v/>
      </c>
      <c r="K17" s="26">
        <f>J17+Financials!$E$6*(1+F17)*(1+G17)</f>
        <v/>
      </c>
      <c r="L17" s="26">
        <f>J17*E17+(K17-J17)*I17+Assumptions!$B$57</f>
        <v/>
      </c>
      <c r="M17" s="25">
        <f>L17/Financials!$G$16</f>
        <v/>
      </c>
      <c r="N17" s="37">
        <f>Assumptions!$B$60</f>
        <v/>
      </c>
      <c r="O17" s="25">
        <f>M17*N17</f>
        <v/>
      </c>
      <c r="P17" s="36">
        <f>O17/Assumptions!$B$7-1</f>
        <v/>
      </c>
    </row>
    <row r="18">
      <c r="A18" s="5" t="inlineStr">
        <is>
          <t>Rest bear, optical base</t>
        </is>
      </c>
      <c r="B18" s="28">
        <f>B6</f>
        <v/>
      </c>
      <c r="C18" s="28">
        <f>C6</f>
        <v/>
      </c>
      <c r="D18" s="28">
        <f>D6</f>
        <v/>
      </c>
      <c r="E18" s="28">
        <f>E6</f>
        <v/>
      </c>
      <c r="F18" s="28">
        <f>F5</f>
        <v/>
      </c>
      <c r="G18" s="28">
        <f>G5</f>
        <v/>
      </c>
      <c r="H18" s="28">
        <f>H5</f>
        <v/>
      </c>
      <c r="I18" s="28">
        <f>I5</f>
        <v/>
      </c>
      <c r="J18" s="26">
        <f>Financials!$E$5*(1+B18)*(1+C18)</f>
        <v/>
      </c>
      <c r="K18" s="26">
        <f>J18+Financials!$E$6*(1+F18)*(1+G18)</f>
        <v/>
      </c>
      <c r="L18" s="26">
        <f>J18*E18+(K18-J18)*I18+Assumptions!$B$57</f>
        <v/>
      </c>
      <c r="M18" s="25">
        <f>L18/Financials!$G$16</f>
        <v/>
      </c>
      <c r="N18" s="37">
        <f>Assumptions!$B$60</f>
        <v/>
      </c>
      <c r="O18" s="25">
        <f>M18*N18</f>
        <v/>
      </c>
      <c r="P18" s="36">
        <f>O18/Assumptions!$B$7-1</f>
        <v/>
      </c>
    </row>
    <row r="19">
      <c r="A19" s="5" t="inlineStr">
        <is>
          <t>Rest bull, optical base</t>
        </is>
      </c>
      <c r="B19" s="28">
        <f>B6</f>
        <v/>
      </c>
      <c r="C19" s="28">
        <f>C6</f>
        <v/>
      </c>
      <c r="D19" s="28">
        <f>D6</f>
        <v/>
      </c>
      <c r="E19" s="28">
        <f>E6</f>
        <v/>
      </c>
      <c r="F19" s="28">
        <f>F7</f>
        <v/>
      </c>
      <c r="G19" s="28">
        <f>G7</f>
        <v/>
      </c>
      <c r="H19" s="28">
        <f>H7</f>
        <v/>
      </c>
      <c r="I19" s="28">
        <f>I7</f>
        <v/>
      </c>
      <c r="J19" s="26">
        <f>Financials!$E$5*(1+B19)*(1+C19)</f>
        <v/>
      </c>
      <c r="K19" s="26">
        <f>J19+Financials!$E$6*(1+F19)*(1+G19)</f>
        <v/>
      </c>
      <c r="L19" s="26">
        <f>J19*E19+(K19-J19)*I19+Assumptions!$B$57</f>
        <v/>
      </c>
      <c r="M19" s="25">
        <f>L19/Financials!$G$16</f>
        <v/>
      </c>
      <c r="N19" s="37">
        <f>Assumptions!$B$60</f>
        <v/>
      </c>
      <c r="O19" s="25">
        <f>M19*N19</f>
        <v/>
      </c>
      <c r="P19" s="36">
        <f>O19/Assumptions!$B$7-1</f>
        <v/>
      </c>
    </row>
    <row r="21">
      <c r="A21" t="inlineStr">
        <is>
          <t>2028 EPS swing from optical, US$</t>
        </is>
      </c>
      <c r="M21" s="25">
        <f>M17-M16</f>
        <v/>
      </c>
    </row>
    <row r="22">
      <c r="A22" t="inlineStr">
        <is>
          <t>2028 EPS swing from the rest of Corning, US$</t>
        </is>
      </c>
      <c r="M22" s="25">
        <f>M19-M18</f>
        <v/>
      </c>
    </row>
    <row r="23">
      <c r="A23" t="inlineStr">
        <is>
          <t>Ratio, optical to rest</t>
        </is>
      </c>
      <c r="M23" s="40">
        <f>M21/M22</f>
        <v/>
      </c>
    </row>
    <row r="25">
      <c r="A25" s="12" t="inlineStr">
        <is>
          <t>All cases start from my 2026E and use 2028 diluted shares from the Financials tab. Margins are segment net margins.</t>
        </is>
      </c>
    </row>
    <row r="26">
      <c r="A26" s="12" t="inlineStr">
        <is>
          <t>Bear: new fibre capacity (Corning's and China's) catches up, prices and margins slip. Bull: the new plants fill early at rising margins.</t>
        </is>
      </c>
    </row>
    <row r="27">
      <c r="A27" s="12" t="inlineStr">
        <is>
          <t>The base row (6) drives the Financials tab for 2027E and 2028E.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70" customWidth="1" min="3" max="3"/>
  </cols>
  <sheetData>
    <row r="1">
      <c r="A1" s="1" t="inlineStr">
        <is>
          <t>VALUATION: 27x 2028E CORE EPS, TWELVE MONTHS OUT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2028E core EPS, US$</t>
        </is>
      </c>
      <c r="B5" s="25">
        <f>Financials!G17</f>
        <v/>
      </c>
      <c r="C5" s="7" t="inlineStr">
        <is>
          <t>The market will be pricing 2028 by October 2027.</t>
        </is>
      </c>
    </row>
    <row r="6">
      <c r="A6" t="inlineStr">
        <is>
          <t>Base multiple, x</t>
        </is>
      </c>
      <c r="B6" s="41">
        <f>Assumptions!$B$60</f>
        <v/>
      </c>
      <c r="C6" s="7" t="inlineStr">
        <is>
          <t>Assumptions tab.</t>
        </is>
      </c>
    </row>
    <row r="7">
      <c r="A7" s="5" t="inlineStr">
        <is>
          <t>Base-case value per share, US$</t>
        </is>
      </c>
      <c r="B7" s="39">
        <f>B5*B6</f>
        <v/>
      </c>
      <c r="C7" s="7" t="inlineStr">
        <is>
          <t>EPS x multiple.</t>
        </is>
      </c>
    </row>
    <row r="8">
      <c r="A8" t="inlineStr">
        <is>
          <t>Reference price, US$</t>
        </is>
      </c>
      <c r="B8" s="25">
        <f>Assumptions!$B$7</f>
        <v/>
      </c>
      <c r="C8" s="7" t="inlineStr">
        <is>
          <t>NYSE close, 5 October 2026.</t>
        </is>
      </c>
    </row>
    <row r="9">
      <c r="A9" t="inlineStr">
        <is>
          <t>Base value against the price</t>
        </is>
      </c>
      <c r="B9" s="28">
        <f>B7/B8-1</f>
        <v/>
      </c>
      <c r="C9" s="7" t="inlineStr">
        <is>
          <t>Within +/- 15%: no call on value alone.</t>
        </is>
      </c>
    </row>
    <row r="10">
      <c r="A10" t="inlineStr">
        <is>
          <t>Probability-weighted value, US$</t>
        </is>
      </c>
      <c r="B10" s="25">
        <f>Scenarios!O12</f>
        <v/>
      </c>
      <c r="C10" s="7" t="inlineStr">
        <is>
          <t>Scenarios tab.</t>
        </is>
      </c>
    </row>
    <row r="11">
      <c r="A11" s="5" t="inlineStr">
        <is>
          <t>CALL</t>
        </is>
      </c>
      <c r="B11" s="42">
        <f>IF(B9&gt;0.15,"LONG",IF(B9&lt;-0.15,"SHORT","NO CALL"))</f>
        <v/>
      </c>
      <c r="C11" s="7" t="inlineStr">
        <is>
          <t>Rule of thumb: 15% either side of the price. Conviction is judgement. Tommy Lau's call, 6 Oct 2026.</t>
        </is>
      </c>
    </row>
    <row r="12">
      <c r="A12" t="inlineStr"/>
      <c r="C12" s="7" t="inlineStr"/>
    </row>
    <row r="13">
      <c r="A13" t="inlineStr">
        <is>
          <t>Market value on shares outstanding, US$bn</t>
        </is>
      </c>
      <c r="B13" s="27">
        <f>Assumptions!$B$7*Assumptions!$B$13</f>
        <v/>
      </c>
      <c r="C13" s="7" t="inlineStr"/>
    </row>
    <row r="14">
      <c r="A14" t="inlineStr">
        <is>
          <t>Net debt, US$bn</t>
        </is>
      </c>
      <c r="B14" s="26">
        <f>Assumptions!$B$16-Assumptions!$B$15</f>
        <v/>
      </c>
      <c r="C14" s="7" t="inlineStr">
        <is>
          <t>30 June 2026.</t>
        </is>
      </c>
    </row>
    <row r="15">
      <c r="A15" t="inlineStr">
        <is>
          <t>Enterprise value, US$bn</t>
        </is>
      </c>
      <c r="B15" s="27">
        <f>B13+B14</f>
        <v/>
      </c>
      <c r="C15" s="7" t="inlineStr"/>
    </row>
    <row r="16">
      <c r="A16" t="inlineStr">
        <is>
          <t>Dividend yield</t>
        </is>
      </c>
      <c r="B16" s="43">
        <f>4*Assumptions!$B$18/Assumptions!$B$7</f>
        <v/>
      </c>
      <c r="C16" s="7" t="inlineStr">
        <is>
          <t>US$1.12 a year.</t>
        </is>
      </c>
    </row>
    <row r="17">
      <c r="A17" t="inlineStr">
        <is>
          <t>Change since 30 Sep 2025</t>
        </is>
      </c>
      <c r="B17" s="28">
        <f>Assumptions!$B$7/Assumptions!$B$9-1</f>
        <v/>
      </c>
      <c r="C17" s="7" t="inlineStr"/>
    </row>
    <row r="18">
      <c r="A18" t="inlineStr">
        <is>
          <t>Price below the 52-week high</t>
        </is>
      </c>
      <c r="B18" s="28">
        <f>1-Assumptions!$B$7/Assumptions!$B$8</f>
        <v/>
      </c>
      <c r="C18" s="7" t="inlineStr"/>
    </row>
    <row r="19">
      <c r="A19" t="inlineStr"/>
      <c r="C19" s="7" t="inlineStr"/>
    </row>
    <row r="20">
      <c r="A20" t="inlineStr">
        <is>
          <t>P/E on my 2026E</t>
        </is>
      </c>
      <c r="B20" s="40">
        <f>Financials!E19</f>
        <v/>
      </c>
      <c r="C20" s="7" t="inlineStr"/>
    </row>
    <row r="21">
      <c r="A21" t="inlineStr">
        <is>
          <t>P/E on my 2027E</t>
        </is>
      </c>
      <c r="B21" s="40">
        <f>Financials!F19</f>
        <v/>
      </c>
      <c r="C21" s="7" t="inlineStr"/>
    </row>
    <row r="22">
      <c r="A22" t="inlineStr">
        <is>
          <t>P/E on my 2028E</t>
        </is>
      </c>
      <c r="B22" s="40">
        <f>Financials!G19</f>
        <v/>
      </c>
      <c r="C22" s="7" t="inlineStr"/>
    </row>
    <row r="23">
      <c r="A23" t="inlineStr">
        <is>
          <t>P/E on the 2027 consensus</t>
        </is>
      </c>
      <c r="B23" s="40">
        <f>Assumptions!$B$7/Assumptions!$B$20</f>
        <v/>
      </c>
      <c r="C23" s="7" t="inlineStr">
        <is>
          <t>Nasdaq.com (Zacks) US$4.29.</t>
        </is>
      </c>
    </row>
    <row r="24">
      <c r="A24" t="inlineStr">
        <is>
          <t>P/E on trailing four quarters core EPS</t>
        </is>
      </c>
      <c r="B24" s="40">
        <f>Assumptions!$B$7/Quarterly!B15</f>
        <v/>
      </c>
      <c r="C24" s="7" t="inlineStr">
        <is>
          <t>GAAP trailing: 73.5x (stockanalysis.com).</t>
        </is>
      </c>
    </row>
    <row r="25">
      <c r="A25" t="inlineStr">
        <is>
          <t>End-2024 price on 2025 core EPS, in hindsight</t>
        </is>
      </c>
      <c r="B25" s="40">
        <f>Assumptions!$B$10/Financials!D17</f>
        <v/>
      </c>
      <c r="C25" s="7" t="inlineStr">
        <is>
          <t>What the market paid for Corning before the re-rating.</t>
        </is>
      </c>
    </row>
    <row r="26">
      <c r="A26" t="inlineStr"/>
      <c r="C26" s="7" t="inlineStr"/>
    </row>
    <row r="27">
      <c r="A27" t="inlineStr">
        <is>
          <t>2028 EPS the price needs at the base multiple, US$</t>
        </is>
      </c>
      <c r="B27" s="25">
        <f>Assumptions!$B$7/Assumptions!$B$60</f>
        <v/>
      </c>
      <c r="C27" s="7" t="inlineStr">
        <is>
          <t>What the market prices in.</t>
        </is>
      </c>
    </row>
    <row r="28">
      <c r="A28" t="inlineStr">
        <is>
          <t>2028 optical net income that needs, rest at base, US$bn</t>
        </is>
      </c>
      <c r="B28" s="26">
        <f>B27*Financials!G16-Financials!G12-Financials!G13</f>
        <v/>
      </c>
      <c r="C28" s="7" t="inlineStr"/>
    </row>
    <row r="29">
      <c r="A29" t="inlineStr">
        <is>
          <t>2028 optical sales that needs at the base margin, US$bn</t>
        </is>
      </c>
      <c r="B29" s="26">
        <f>B28/Scenarios!E6</f>
        <v/>
      </c>
      <c r="C29" s="7" t="inlineStr">
        <is>
          <t>Against my US$14.34bn.</t>
        </is>
      </c>
    </row>
    <row r="30">
      <c r="A30" t="inlineStr">
        <is>
          <t>That against 2025 optical sales</t>
        </is>
      </c>
      <c r="B30" s="44">
        <f>B29/Financials!D5</f>
        <v/>
      </c>
      <c r="C30" s="7" t="inlineStr">
        <is>
          <t>2025: US$6.27bn.</t>
        </is>
      </c>
    </row>
    <row r="31">
      <c r="A31" t="inlineStr">
        <is>
          <t>Implied optical growth a year, 2026E to 2028</t>
        </is>
      </c>
      <c r="B31" s="28">
        <f>(B29/Financials!E5)^0.5-1</f>
        <v/>
      </c>
      <c r="C31" s="7" t="inlineStr"/>
    </row>
    <row r="32">
      <c r="A32" t="inlineStr">
        <is>
          <t>Price that puts the base case 15% above</t>
        </is>
      </c>
      <c r="B32" s="25">
        <f>B7/1.15</f>
        <v/>
      </c>
      <c r="C32" s="7" t="inlineStr">
        <is>
          <t>The 'revisit below about US$127' 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70" customWidth="1" min="3" max="3"/>
  </cols>
  <sheetData>
    <row r="1">
      <c r="A1" s="1" t="inlineStr">
        <is>
          <t>WHY A SOLD-OUT BUSINESS SET UP A US$2BN SHARE SALE: THE CASH ARITHMETIC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Line</t>
        </is>
      </c>
      <c r="B4" s="4" t="inlineStr">
        <is>
          <t>Value</t>
        </is>
      </c>
      <c r="C4" s="4" t="inlineStr">
        <is>
          <t>Working / note</t>
        </is>
      </c>
    </row>
    <row r="5">
      <c r="A5" t="inlineStr">
        <is>
          <t>Capital spending, 2025</t>
        </is>
      </c>
      <c r="B5" s="26">
        <f>Financials!D23</f>
        <v/>
      </c>
      <c r="C5" s="7" t="inlineStr">
        <is>
          <t>Corning Q4 2025 release.</t>
        </is>
      </c>
    </row>
    <row r="6">
      <c r="A6" t="inlineStr">
        <is>
          <t>Capital spending, 2026 outlook</t>
        </is>
      </c>
      <c r="B6" s="26">
        <f>Assumptions!$B$39</f>
        <v/>
      </c>
      <c r="C6" s="7" t="inlineStr">
        <is>
          <t>10-Q: approximately US$2.0bn.</t>
        </is>
      </c>
    </row>
    <row r="7">
      <c r="A7" t="inlineStr">
        <is>
          <t>Step-up, 2026 on 2025</t>
        </is>
      </c>
      <c r="B7" s="36">
        <f>B6/B5-1</f>
        <v/>
      </c>
      <c r="C7" s="7" t="inlineStr"/>
    </row>
    <row r="8">
      <c r="A8" t="inlineStr">
        <is>
          <t>Capital spending, H1 2026</t>
        </is>
      </c>
      <c r="B8" s="26">
        <f>Assumptions!$B$40</f>
        <v/>
      </c>
      <c r="C8" s="7" t="inlineStr"/>
    </row>
    <row r="9">
      <c r="A9" t="inlineStr">
        <is>
          <t>Implied capital spending, H2 2026</t>
        </is>
      </c>
      <c r="B9" s="26">
        <f>B6-B8</f>
        <v/>
      </c>
      <c r="C9" s="7" t="inlineStr">
        <is>
          <t>Second half spends more than the first.</t>
        </is>
      </c>
    </row>
    <row r="10">
      <c r="A10" t="inlineStr">
        <is>
          <t>Adjusted free cash flow, H1 2026</t>
        </is>
      </c>
      <c r="B10" s="26">
        <f>Assumptions!$B$41</f>
        <v/>
      </c>
      <c r="C10" s="7" t="inlineStr"/>
    </row>
    <row r="11">
      <c r="A11" t="inlineStr">
        <is>
          <t>Less customer deposits and government incentives, H1 2026</t>
        </is>
      </c>
      <c r="B11" s="26">
        <f>Assumptions!$B$42</f>
        <v/>
      </c>
      <c r="C11" s="7" t="inlineStr">
        <is>
          <t>Includes the US$1.0bn deposit received in Q2.</t>
        </is>
      </c>
    </row>
    <row r="12">
      <c r="A12" t="inlineStr">
        <is>
          <t>Adjusted free cash flow without them, H1 2026</t>
        </is>
      </c>
      <c r="B12" s="26">
        <f>B10-B11</f>
        <v/>
      </c>
      <c r="C12" s="7" t="inlineStr"/>
    </row>
    <row r="13">
      <c r="A13" t="inlineStr">
        <is>
          <t>Dividends paid, H1 2026</t>
        </is>
      </c>
      <c r="B13" s="26">
        <f>Assumptions!$B$43</f>
        <v/>
      </c>
      <c r="C13" s="7" t="inlineStr"/>
    </row>
    <row r="14">
      <c r="A14" t="inlineStr">
        <is>
          <t>Debt due within a year, 30 Jun 2026</t>
        </is>
      </c>
      <c r="B14" s="26">
        <f>Assumptions!$B$17</f>
        <v/>
      </c>
      <c r="C14" s="7" t="inlineStr"/>
    </row>
    <row r="15">
      <c r="A15" t="inlineStr">
        <is>
          <t>Cash, 30 Jun 2026</t>
        </is>
      </c>
      <c r="B15" s="26">
        <f>Assumptions!$B$15</f>
        <v/>
      </c>
      <c r="C15" s="7" t="inlineStr">
        <is>
          <t>Plus an undrawn US$1.5bn revolving credit facility.</t>
        </is>
      </c>
    </row>
    <row r="17">
      <c r="A17" t="inlineStr">
        <is>
          <t>At-the-market programme, maximum, US$bn</t>
        </is>
      </c>
      <c r="B17" s="26">
        <f>Assumptions!$B$38</f>
        <v/>
      </c>
      <c r="C17" s="7" t="inlineStr">
        <is>
          <t>11 Sep 2026.</t>
        </is>
      </c>
    </row>
    <row r="18">
      <c r="A18" t="inlineStr">
        <is>
          <t>Shares if fully sold at the reference price, bn</t>
        </is>
      </c>
      <c r="B18" s="29">
        <f>Assumptions!$B$38/Assumptions!$B$7</f>
        <v/>
      </c>
      <c r="C18" s="7" t="inlineStr"/>
    </row>
    <row r="19">
      <c r="A19" t="inlineStr">
        <is>
          <t>Dilution against shares outstanding</t>
        </is>
      </c>
      <c r="B19" s="43">
        <f>B18/Assumptions!$B$13</f>
        <v/>
      </c>
      <c r="C19" s="7" t="inlineStr"/>
    </row>
    <row r="20">
      <c r="A20" t="inlineStr">
        <is>
          <t>Share price change, 11 to 14 Sep 2026</t>
        </is>
      </c>
      <c r="B20" s="28">
        <f>Assumptions!$B$12/Assumptions!$B$11-1</f>
        <v/>
      </c>
      <c r="C20" s="7" t="inlineStr"/>
    </row>
    <row r="22">
      <c r="A22" t="inlineStr">
        <is>
          <t>Customer deposit booked in Q2 2026, US$bn</t>
        </is>
      </c>
      <c r="B22" s="26">
        <f>Assumptions!$B$44</f>
        <v/>
      </c>
      <c r="C22" s="7" t="inlineStr">
        <is>
          <t>Long-term supply agreement to 31 Dec 2029.</t>
        </is>
      </c>
    </row>
    <row r="23">
      <c r="A23" t="inlineStr">
        <is>
          <t>Warrant to the same customer, fair value, US$bn</t>
        </is>
      </c>
      <c r="B23" s="29">
        <f>Assumptions!$B$45</f>
        <v/>
      </c>
      <c r="C23" s="7" t="inlineStr">
        <is>
          <t>Comes off revenue as Corning delivers.</t>
        </is>
      </c>
    </row>
    <row r="24">
      <c r="A24" t="inlineStr">
        <is>
          <t>Warrant value per dollar of deposit</t>
        </is>
      </c>
      <c r="B24" s="36">
        <f>B23/B22</f>
        <v/>
      </c>
      <c r="C24" s="7" t="inlineStr">
        <is>
          <t>About 30 cents.</t>
        </is>
      </c>
    </row>
    <row r="27">
      <c r="A27" s="12" t="inlineStr">
        <is>
          <t>Corning has not said why it set up the programme; the prospectus gives general corporate purposes, including capital spending, debt repayment and buybacks.</t>
        </is>
      </c>
    </row>
    <row r="28">
      <c r="A28" s="12" t="inlineStr">
        <is>
          <t>Also relevant: Samsung Display holds 58m Corning shares under a lock-up expiring in 2027, and can offer 22m more to Corning in tranches through 2027 (10-K, 10-Q).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VALUE PER SHARE: 2028E CORE EPS AGAINST MULTIPLE (US$)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2028 EPS \ multiple</t>
        </is>
      </c>
      <c r="B4" s="45" t="n">
        <v>22</v>
      </c>
      <c r="C4" s="45">
        <f>Assumptions!$B$60</f>
        <v/>
      </c>
      <c r="D4" s="45" t="n">
        <v>32</v>
      </c>
    </row>
    <row r="5">
      <c r="A5" s="46" t="n">
        <v>4.6</v>
      </c>
      <c r="B5" s="47">
        <f>$A5*B$4</f>
        <v/>
      </c>
      <c r="C5" s="47">
        <f>$A5*C$4</f>
        <v/>
      </c>
      <c r="D5" s="47">
        <f>$A5*D$4</f>
        <v/>
      </c>
    </row>
    <row r="6">
      <c r="A6" s="48">
        <f>Financials!G17</f>
        <v/>
      </c>
      <c r="B6" s="47">
        <f>$A6*B$4</f>
        <v/>
      </c>
      <c r="C6" s="49">
        <f>$A6*C$4</f>
        <v/>
      </c>
      <c r="D6" s="47">
        <f>$A6*D$4</f>
        <v/>
      </c>
    </row>
    <row r="7">
      <c r="A7" s="46" t="n">
        <v>6.2</v>
      </c>
      <c r="B7" s="47">
        <f>$A7*B$4</f>
        <v/>
      </c>
      <c r="C7" s="47">
        <f>$A7*C$4</f>
        <v/>
      </c>
      <c r="D7" s="47">
        <f>$A7*D$4</f>
        <v/>
      </c>
    </row>
    <row r="9">
      <c r="A9" s="5" t="inlineStr">
        <is>
          <t>Cells above the reference price</t>
        </is>
      </c>
      <c r="B9">
        <f>COUNTIF(B5:D7,"&gt;"&amp;Assumptions!$B$7)</f>
        <v/>
      </c>
      <c r="C9" t="inlineStr">
        <is>
          <t>of 9</t>
        </is>
      </c>
    </row>
    <row r="11">
      <c r="A11" s="12" t="inlineStr">
        <is>
          <t>Middle row links to the model's 2028E EPS and the middle column to the base multiple.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80" customWidth="1" min="4" max="4"/>
  </cols>
  <sheetData>
    <row r="1">
      <c r="A1" s="1" t="inlineStr">
        <is>
          <t>PEER MULTIPLES (FORWARD P/E, stockanalysis.com, 6 OCTOBER 2026)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Company</t>
        </is>
      </c>
      <c r="B4" s="4" t="inlineStr">
        <is>
          <t>Ticker</t>
        </is>
      </c>
      <c r="C4" s="4" t="inlineStr">
        <is>
          <t>Forward P/E</t>
        </is>
      </c>
      <c r="D4" s="4" t="inlineStr">
        <is>
          <t>What they make</t>
        </is>
      </c>
    </row>
    <row r="5">
      <c r="A5" s="5" t="inlineStr">
        <is>
          <t>Corning</t>
        </is>
      </c>
      <c r="B5" t="inlineStr">
        <is>
          <t>NYSE: GLW</t>
        </is>
      </c>
      <c r="C5" s="50">
        <f>Assumptions!$B$22</f>
        <v/>
      </c>
      <c r="D5" s="7" t="inlineStr">
        <is>
          <t>Optical fibre, cable and connectivity, plus display, phone, car and solar materials</t>
        </is>
      </c>
    </row>
    <row r="6">
      <c r="A6" s="21" t="inlineStr">
        <is>
          <t>Prysmian</t>
        </is>
      </c>
      <c r="B6" t="inlineStr">
        <is>
          <t>Milan: PRY</t>
        </is>
      </c>
      <c r="C6" s="51" t="n">
        <v>23.48</v>
      </c>
      <c r="D6" s="7" t="inlineStr">
        <is>
          <t>Power and telecom cable, including optical fibre and cable</t>
        </is>
      </c>
    </row>
    <row r="7">
      <c r="A7" s="21" t="inlineStr">
        <is>
          <t>Fujikura</t>
        </is>
      </c>
      <c r="B7" t="inlineStr">
        <is>
          <t>Tokyo: 5803</t>
        </is>
      </c>
      <c r="C7" s="51" t="n">
        <v>28.92</v>
      </c>
      <c r="D7" s="7" t="inlineStr">
        <is>
          <t>Optical fibre, high-count cable and connectors</t>
        </is>
      </c>
    </row>
    <row r="8">
      <c r="A8" s="21" t="inlineStr">
        <is>
          <t>Sumitomo Electric</t>
        </is>
      </c>
      <c r="B8" t="inlineStr">
        <is>
          <t>Tokyo: 5802</t>
        </is>
      </c>
      <c r="C8" s="51" t="n">
        <v>21.43</v>
      </c>
      <c r="D8" s="7" t="inlineStr">
        <is>
          <t>Wire, cable and optical fibre, plus car wiring</t>
        </is>
      </c>
    </row>
    <row r="9">
      <c r="A9" s="21" t="inlineStr">
        <is>
          <t>Amphenol</t>
        </is>
      </c>
      <c r="B9" t="inlineStr">
        <is>
          <t>NYSE: APH</t>
        </is>
      </c>
      <c r="C9" s="51" t="n">
        <v>29.43</v>
      </c>
      <c r="D9" s="7" t="inlineStr">
        <is>
          <t>Connectors and cable assemblies, including for AI racks</t>
        </is>
      </c>
    </row>
    <row r="10">
      <c r="A10" s="21" t="inlineStr">
        <is>
          <t>Ciena</t>
        </is>
      </c>
      <c r="B10" t="inlineStr">
        <is>
          <t>NYSE: CIEN</t>
        </is>
      </c>
      <c r="C10" s="51" t="n">
        <v>37.51</v>
      </c>
      <c r="D10" s="7" t="inlineStr">
        <is>
          <t>Optical networking systems</t>
        </is>
      </c>
    </row>
    <row r="11">
      <c r="A11" s="21" t="inlineStr">
        <is>
          <t>Coherent</t>
        </is>
      </c>
      <c r="B11" t="inlineStr">
        <is>
          <t>NYSE: COHR</t>
        </is>
      </c>
      <c r="C11" s="51" t="n">
        <v>35.42</v>
      </c>
      <c r="D11" s="7" t="inlineStr">
        <is>
          <t>Optical transceivers, lasers and materials</t>
        </is>
      </c>
    </row>
    <row r="12">
      <c r="A12" s="21" t="inlineStr">
        <is>
          <t>Lumentum</t>
        </is>
      </c>
      <c r="B12" t="inlineStr">
        <is>
          <t>Nasdaq: LITE</t>
        </is>
      </c>
      <c r="C12" s="51" t="n">
        <v>50.12</v>
      </c>
      <c r="D12" s="7" t="inlineStr">
        <is>
          <t>Lasers and optical transceivers</t>
        </is>
      </c>
    </row>
    <row r="14">
      <c r="A14" t="inlineStr">
        <is>
          <t>Median, fibre and cable makers (Prysmian, Fujikura, Sumitomo Electric)</t>
        </is>
      </c>
      <c r="C14" s="40">
        <f>MEDIAN(C6:C8)</f>
        <v/>
      </c>
    </row>
    <row r="15">
      <c r="A15" t="inlineStr">
        <is>
          <t>Median, all seven peers</t>
        </is>
      </c>
      <c r="C15" s="40">
        <f>MEDIAN(C6:C12)</f>
        <v/>
      </c>
    </row>
    <row r="17">
      <c r="A17" s="12" t="inlineStr">
        <is>
          <t>Prysmian, Fujikura and Sumitomo Electric multiples are on their local listings. Multiples only, to set the base multiple.</t>
        </is>
      </c>
    </row>
    <row r="18">
      <c r="A18" s="12" t="inlineStr">
        <is>
          <t>No view on the peers' shares is expressed.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0" customWidth="1" min="2" max="2"/>
  </cols>
  <sheetData>
    <row r="1">
      <c r="A1" s="1" t="inlineStr">
        <is>
          <t>SOURCES</t>
        </is>
      </c>
    </row>
    <row r="2">
      <c r="A2" s="2" t="inlineStr">
        <is>
          <t>Tommy Lau | Corning (NYSE: GLW) | 6 October 2026 | Core (non-GAAP) basis | Personal research, not investment advice.</t>
        </is>
      </c>
    </row>
    <row r="4">
      <c r="A4" s="3" t="inlineStr">
        <is>
          <t>No.</t>
        </is>
      </c>
      <c r="B4" s="4" t="inlineStr">
        <is>
          <t>Source and what it supports</t>
        </is>
      </c>
    </row>
    <row r="5">
      <c r="A5" t="n">
        <v>1</v>
      </c>
      <c r="B5" s="7" t="inlineStr">
        <is>
          <t>Corning quarterly earnings releases (Exhibit 99 to Form 8-K), 30 April 2024 to 28 July 2026: core sales, core EPS, segment sales and net income, margins, cash flow, capital spending, adjusted free cash flow, Q3 2026 guide.</t>
        </is>
      </c>
    </row>
    <row r="6">
      <c r="A6" t="n">
        <v>2</v>
      </c>
      <c r="B6" s="7" t="inlineStr">
        <is>
          <t>Corning Form 10-K for 2025, filed 12 February 2026: segment sales, enterprise and carrier network sales, optical at 38% of segment sales, two end customers at 28% of optical sales, the Samsung Display share repurchase agreement.</t>
        </is>
      </c>
    </row>
    <row r="7">
      <c r="A7" t="n">
        <v>3</v>
      </c>
      <c r="B7" s="7" t="inlineStr">
        <is>
          <t>Corning Form 10-Q for Q2 2026, filed 29 July 2026: US$1.0bn customer deposit to 31 Dec 2029, warrant accounting (US$296m), contract liabilities, liquidity, credit facility, leverage covenant, 2026 capital spending of about US$2.0bn.</t>
        </is>
      </c>
    </row>
    <row r="8">
      <c r="A8" t="n">
        <v>4</v>
      </c>
      <c r="B8" s="7" t="inlineStr">
        <is>
          <t>Corning 8-K and press release of 6 May 2026: NVIDIA partnership, three new plants, 10x US connectivity capacity; pre-funded warrant (3m shares, US$500m) and traditional warrant (15m shares at US$180).</t>
        </is>
      </c>
    </row>
    <row r="9">
      <c r="A9" t="n">
        <v>5</v>
      </c>
      <c r="B9" s="7" t="inlineStr">
        <is>
          <t>Corning 8-K and prospectus supplement of 11 September 2026: US$2bn at-the-market programme with Goldman Sachs; use of proceeds; 861,388,331 shares outstanding at 24 July 2026.</t>
        </is>
      </c>
    </row>
    <row r="10">
      <c r="A10" t="n">
        <v>6</v>
      </c>
      <c r="B10" s="7" t="inlineStr">
        <is>
          <t>Corning Q2 2026 earnings call of 28 July 2026 (Investing.com transcript summary): Enterprise Networks US$1.27bn, capacity commentary, long-term contracts, second-half capital spending.</t>
        </is>
      </c>
    </row>
    <row r="11">
      <c r="A11" t="n">
        <v>7</v>
      </c>
      <c r="B11" s="7" t="inlineStr">
        <is>
          <t>Meta (27 January 2026), Amazon (8 June 2026) and Verizon (8 September 2026) agreement announcements; Corning Q1 2026 release (two further hyperscale agreements).</t>
        </is>
      </c>
    </row>
    <row r="12">
      <c r="A12" t="n">
        <v>8</v>
      </c>
      <c r="B12" s="7" t="inlineStr">
        <is>
          <t>Corning investor relations events feed: Q3 2026 results call on Tuesday 27 October 2026, 8:30am ET.</t>
        </is>
      </c>
    </row>
    <row r="13">
      <c r="A13" t="n">
        <v>9</v>
      </c>
      <c r="B13" s="7" t="inlineStr">
        <is>
          <t>Yahoo Finance chart API, retrieved 6 October 2026: month-end closes, the 5 October close, 52-week range. stockanalysis.com daily history for 11 and 14 September 2026.</t>
        </is>
      </c>
    </row>
    <row r="14">
      <c r="A14" t="n">
        <v>10</v>
      </c>
      <c r="B14" s="7" t="inlineStr">
        <is>
          <t>Nasdaq.com earnings forecast (Zacks), retrieved 6 October 2026: consensus core EPS 2026 to 2028. stockanalysis.com: forward and trailing P/E, average target, peer multiples.</t>
        </is>
      </c>
    </row>
    <row r="15">
      <c r="A15" t="n">
        <v>11</v>
      </c>
      <c r="B15" s="7" t="inlineStr">
        <is>
          <t>The Physical Layer, 'Corning makes the glass AI chips talk through', 1 October 2026: https://thephysicallayer.fyi/journal/corning-lays-the-glass/</t>
        </is>
      </c>
    </row>
    <row r="16">
      <c r="A16" t="n">
        <v>12</v>
      </c>
      <c r="B16" s="7" t="inlineStr">
        <is>
          <t>Estimates for 2026 to 2028 are the author's own. Personal research, not investment advice. I hold no position in Corning.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2026-10-06T13:47:19Z</dcterms:created>
  <dcterms:modified xmlns:dcterms="http://purl.org/dc/terms/" xmlns:xsi="http://www.w3.org/2001/XMLSchema-instance" xsi:type="dcterms:W3CDTF">2026-10-06T13:47:19Z</dcterms:modified>
</cp:coreProperties>
</file>